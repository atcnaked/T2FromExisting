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est battement arrondi VAC" sheetId="2" r:id="rId1"/>
    <sheet name="Feuil1" sheetId="1" r:id="rId2"/>
  </sheets>
  <externalReferences>
    <externalReference r:id="rId3"/>
    <externalReference r:id="rId4"/>
    <externalReference r:id="rId5"/>
  </externalReferences>
  <definedNames>
    <definedName name="bato">#REF!</definedName>
    <definedName name="battement">'test battement arrondi VAC'!$S$12</definedName>
    <definedName name="coeff">[1]PROPOSITION!$AC$9</definedName>
    <definedName name="dateretenue">'[2]decode horaires R68'!$I$2</definedName>
    <definedName name="dureeVAC">'test battement arrondi VAC'!$B$11:$B$37</definedName>
    <definedName name="liste_trigramme2">'[1]Trigramme Nom Prénom'!$A$2:$A$73</definedName>
    <definedName name="listeTrigramme">#REF!</definedName>
    <definedName name="nom_prenom">#REF!</definedName>
    <definedName name="nom_prenom2">'[1]Trigramme Nom Prénom'!$C$2:$C$75</definedName>
    <definedName name="pasMini_en_heure">'test battement arrondi VAC'!$X$2:$X$8</definedName>
    <definedName name="pasMiniChoisi">'test battement arrondi VAC'!$X$12</definedName>
    <definedName name="tableauBattement_PC">'test battement arrondi VAC'!$S$2:$S$8</definedName>
    <definedName name="taux">#REF!</definedName>
    <definedName name="tauxControle">'test battement arrondi VAC'!$P$12</definedName>
    <definedName name="tauxControle_PC">'test battement arrondi VAC'!$P$2:$P$9</definedName>
    <definedName name="tauxPSup">#REF!</definedName>
    <definedName name="td">'[3]import-process'!$X$212:$X$213</definedName>
    <definedName name="tPausePourcent">'test battement arrondi VAC'!$N$12</definedName>
    <definedName name="VAC">'test battement arrondi VAC'!$A$11:$A$37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33" i="2" l="1"/>
  <c r="AH33" i="2"/>
  <c r="P34" i="2"/>
  <c r="X2" i="2"/>
  <c r="X3" i="2" s="1"/>
  <c r="X4" i="2" s="1"/>
  <c r="S34" i="2"/>
  <c r="U34" i="2" s="1"/>
  <c r="Z34" i="2" s="1"/>
  <c r="N32" i="2"/>
  <c r="P32" i="2" s="1"/>
  <c r="S32" i="2" s="1"/>
  <c r="N33" i="2"/>
  <c r="P33" i="2" s="1"/>
  <c r="L32" i="2"/>
  <c r="L31" i="2"/>
  <c r="N31" i="2" s="1"/>
  <c r="P31" i="2" s="1"/>
  <c r="S31" i="2" s="1"/>
  <c r="L30" i="2"/>
  <c r="N30" i="2" s="1"/>
  <c r="P30" i="2" s="1"/>
  <c r="S30" i="2" s="1"/>
  <c r="L29" i="2"/>
  <c r="N29" i="2" s="1"/>
  <c r="P29" i="2" s="1"/>
  <c r="S29" i="2" s="1"/>
  <c r="E28" i="2"/>
  <c r="L28" i="2" s="1"/>
  <c r="N28" i="2" s="1"/>
  <c r="P28" i="2" s="1"/>
  <c r="S28" i="2" s="1"/>
  <c r="E27" i="2"/>
  <c r="L27" i="2" s="1"/>
  <c r="N27" i="2" s="1"/>
  <c r="P27" i="2" s="1"/>
  <c r="S27" i="2" s="1"/>
  <c r="E26" i="2"/>
  <c r="L26" i="2" s="1"/>
  <c r="N26" i="2" s="1"/>
  <c r="P26" i="2" s="1"/>
  <c r="S26" i="2" s="1"/>
  <c r="D25" i="2"/>
  <c r="E25" i="2" s="1"/>
  <c r="L25" i="2" s="1"/>
  <c r="N25" i="2" s="1"/>
  <c r="P25" i="2" s="1"/>
  <c r="S25" i="2" s="1"/>
  <c r="E24" i="2"/>
  <c r="L24" i="2" s="1"/>
  <c r="N24" i="2" s="1"/>
  <c r="P24" i="2" s="1"/>
  <c r="S24" i="2" s="1"/>
  <c r="E23" i="2"/>
  <c r="L23" i="2" s="1"/>
  <c r="N23" i="2" s="1"/>
  <c r="P23" i="2" s="1"/>
  <c r="S23" i="2" s="1"/>
  <c r="E22" i="2"/>
  <c r="L22" i="2" s="1"/>
  <c r="N22" i="2" s="1"/>
  <c r="P22" i="2" s="1"/>
  <c r="S22" i="2" s="1"/>
  <c r="E21" i="2"/>
  <c r="L21" i="2" s="1"/>
  <c r="N21" i="2" s="1"/>
  <c r="P21" i="2" s="1"/>
  <c r="S21" i="2" s="1"/>
  <c r="E20" i="2"/>
  <c r="L20" i="2" s="1"/>
  <c r="N20" i="2" s="1"/>
  <c r="P20" i="2" s="1"/>
  <c r="S20" i="2" s="1"/>
  <c r="E19" i="2"/>
  <c r="L19" i="2" s="1"/>
  <c r="N19" i="2" s="1"/>
  <c r="P19" i="2" s="1"/>
  <c r="S19" i="2" s="1"/>
  <c r="E18" i="2"/>
  <c r="L18" i="2" s="1"/>
  <c r="N18" i="2" s="1"/>
  <c r="P18" i="2" s="1"/>
  <c r="S18" i="2" s="1"/>
  <c r="E17" i="2"/>
  <c r="L17" i="2" s="1"/>
  <c r="N17" i="2" s="1"/>
  <c r="P17" i="2" s="1"/>
  <c r="S17" i="2" s="1"/>
  <c r="E16" i="2"/>
  <c r="L16" i="2" s="1"/>
  <c r="N16" i="2" s="1"/>
  <c r="P16" i="2" s="1"/>
  <c r="S16" i="2" s="1"/>
  <c r="X7" i="2" l="1"/>
  <c r="X5" i="2"/>
  <c r="X6" i="2"/>
  <c r="V23" i="2"/>
  <c r="AA23" i="2" s="1"/>
  <c r="V31" i="2"/>
  <c r="AA31" i="2" s="1"/>
  <c r="V27" i="2"/>
  <c r="AA27" i="2" s="1"/>
  <c r="V19" i="2"/>
  <c r="AA19" i="2" s="1"/>
  <c r="V34" i="2"/>
  <c r="AA34" i="2" s="1"/>
  <c r="AC34" i="2" s="1"/>
  <c r="V16" i="2"/>
  <c r="AA16" i="2" s="1"/>
  <c r="V20" i="2"/>
  <c r="AA20" i="2" s="1"/>
  <c r="V24" i="2"/>
  <c r="AA24" i="2" s="1"/>
  <c r="V28" i="2"/>
  <c r="AA28" i="2" s="1"/>
  <c r="V32" i="2"/>
  <c r="AA32" i="2" s="1"/>
  <c r="U23" i="2"/>
  <c r="Z23" i="2" s="1"/>
  <c r="AC23" i="2" s="1"/>
  <c r="AE23" i="2" s="1"/>
  <c r="AH23" i="2" s="1"/>
  <c r="U27" i="2"/>
  <c r="Z27" i="2" s="1"/>
  <c r="U31" i="2"/>
  <c r="Z31" i="2" s="1"/>
  <c r="U17" i="2"/>
  <c r="Z17" i="2" s="1"/>
  <c r="V21" i="2"/>
  <c r="AA21" i="2" s="1"/>
  <c r="V25" i="2"/>
  <c r="AA25" i="2" s="1"/>
  <c r="U29" i="2"/>
  <c r="Z29" i="2" s="1"/>
  <c r="S33" i="2"/>
  <c r="V33" i="2" s="1"/>
  <c r="AA33" i="2" s="1"/>
  <c r="V18" i="2"/>
  <c r="AA18" i="2" s="1"/>
  <c r="V22" i="2"/>
  <c r="AA22" i="2" s="1"/>
  <c r="V26" i="2"/>
  <c r="AA26" i="2" s="1"/>
  <c r="V30" i="2"/>
  <c r="AA30" i="2" s="1"/>
  <c r="AF23" i="2" l="1"/>
  <c r="AI23" i="2" s="1"/>
  <c r="AC31" i="2"/>
  <c r="AE31" i="2" s="1"/>
  <c r="AH31" i="2" s="1"/>
  <c r="AC27" i="2"/>
  <c r="AE27" i="2" s="1"/>
  <c r="AH27" i="2" s="1"/>
  <c r="U19" i="2"/>
  <c r="Z19" i="2" s="1"/>
  <c r="AC19" i="2" s="1"/>
  <c r="AE19" i="2" s="1"/>
  <c r="AH19" i="2" s="1"/>
  <c r="V17" i="2"/>
  <c r="AA17" i="2" s="1"/>
  <c r="AC17" i="2" s="1"/>
  <c r="AE17" i="2" s="1"/>
  <c r="AH17" i="2" s="1"/>
  <c r="U26" i="2"/>
  <c r="Z26" i="2" s="1"/>
  <c r="AC26" i="2" s="1"/>
  <c r="AE26" i="2" s="1"/>
  <c r="AH26" i="2" s="1"/>
  <c r="U28" i="2"/>
  <c r="Z28" i="2" s="1"/>
  <c r="AC28" i="2" s="1"/>
  <c r="AE28" i="2" s="1"/>
  <c r="AH28" i="2" s="1"/>
  <c r="U33" i="2"/>
  <c r="Z33" i="2" s="1"/>
  <c r="AC33" i="2" s="1"/>
  <c r="U25" i="2"/>
  <c r="Z25" i="2" s="1"/>
  <c r="AC25" i="2" s="1"/>
  <c r="AE25" i="2" s="1"/>
  <c r="AH25" i="2" s="1"/>
  <c r="V29" i="2"/>
  <c r="AA29" i="2" s="1"/>
  <c r="AC29" i="2" s="1"/>
  <c r="AE29" i="2" s="1"/>
  <c r="AH29" i="2" s="1"/>
  <c r="U22" i="2"/>
  <c r="Z22" i="2" s="1"/>
  <c r="AC22" i="2" s="1"/>
  <c r="AE22" i="2" s="1"/>
  <c r="AH22" i="2" s="1"/>
  <c r="U24" i="2"/>
  <c r="Z24" i="2" s="1"/>
  <c r="AC24" i="2" s="1"/>
  <c r="AE24" i="2" s="1"/>
  <c r="AH24" i="2" s="1"/>
  <c r="U18" i="2"/>
  <c r="Z18" i="2" s="1"/>
  <c r="AC18" i="2" s="1"/>
  <c r="AE18" i="2" s="1"/>
  <c r="AH18" i="2" s="1"/>
  <c r="U20" i="2"/>
  <c r="Z20" i="2" s="1"/>
  <c r="AC20" i="2" s="1"/>
  <c r="AE20" i="2" s="1"/>
  <c r="AH20" i="2" s="1"/>
  <c r="U21" i="2"/>
  <c r="Z21" i="2" s="1"/>
  <c r="AC21" i="2" s="1"/>
  <c r="AE21" i="2" s="1"/>
  <c r="AH21" i="2" s="1"/>
  <c r="U30" i="2"/>
  <c r="Z30" i="2" s="1"/>
  <c r="AC30" i="2" s="1"/>
  <c r="AE30" i="2" s="1"/>
  <c r="AH30" i="2" s="1"/>
  <c r="U32" i="2"/>
  <c r="Z32" i="2" s="1"/>
  <c r="AC32" i="2" s="1"/>
  <c r="AE32" i="2" s="1"/>
  <c r="AH32" i="2" s="1"/>
  <c r="U16" i="2"/>
  <c r="Z16" i="2" s="1"/>
  <c r="AC16" i="2" s="1"/>
  <c r="AE16" i="2" s="1"/>
  <c r="AH16" i="2" s="1"/>
  <c r="AF29" i="2" l="1"/>
  <c r="AI29" i="2" s="1"/>
  <c r="AF31" i="2"/>
  <c r="AI31" i="2" s="1"/>
  <c r="AF32" i="2"/>
  <c r="AI32" i="2" s="1"/>
  <c r="AF18" i="2"/>
  <c r="AI18" i="2" s="1"/>
  <c r="AF25" i="2"/>
  <c r="AI25" i="2" s="1"/>
  <c r="AF17" i="2"/>
  <c r="AI17" i="2" s="1"/>
  <c r="AF20" i="2"/>
  <c r="AI20" i="2" s="1"/>
  <c r="AF26" i="2"/>
  <c r="AI26" i="2" s="1"/>
  <c r="AF30" i="2"/>
  <c r="AI30" i="2" s="1"/>
  <c r="AF24" i="2"/>
  <c r="AI24" i="2" s="1"/>
  <c r="AF19" i="2"/>
  <c r="AI19" i="2" s="1"/>
  <c r="AF21" i="2"/>
  <c r="AI21" i="2" s="1"/>
  <c r="AF22" i="2"/>
  <c r="AI22" i="2" s="1"/>
  <c r="AF28" i="2"/>
  <c r="AI28" i="2" s="1"/>
  <c r="AF27" i="2"/>
  <c r="AI27" i="2" s="1"/>
  <c r="AF16" i="2"/>
  <c r="AI16" i="2" s="1"/>
</calcChain>
</file>

<file path=xl/sharedStrings.xml><?xml version="1.0" encoding="utf-8"?>
<sst xmlns="http://schemas.openxmlformats.org/spreadsheetml/2006/main" count="47" uniqueCount="44">
  <si>
    <t>période de charge</t>
  </si>
  <si>
    <t>période creuse</t>
  </si>
  <si>
    <t>vac opérationnelle</t>
  </si>
  <si>
    <t>début</t>
  </si>
  <si>
    <t>fin</t>
  </si>
  <si>
    <t>durée</t>
  </si>
  <si>
    <t>J</t>
  </si>
  <si>
    <t>J1</t>
  </si>
  <si>
    <t>J2</t>
  </si>
  <si>
    <t>J4</t>
  </si>
  <si>
    <t>J6</t>
  </si>
  <si>
    <t>J7</t>
  </si>
  <si>
    <t>J8</t>
  </si>
  <si>
    <t>M</t>
  </si>
  <si>
    <t>M6</t>
  </si>
  <si>
    <t>N</t>
  </si>
  <si>
    <t>S1</t>
  </si>
  <si>
    <t>S2</t>
  </si>
  <si>
    <t>horaire pipeau à remplir correctement</t>
  </si>
  <si>
    <t>durée retenue fct saison</t>
  </si>
  <si>
    <t>temps de pause minimal en %</t>
  </si>
  <si>
    <t>durée max hors pause</t>
  </si>
  <si>
    <t>battement en %</t>
  </si>
  <si>
    <t>tableauBattement_PC</t>
  </si>
  <si>
    <t>durée min calculée</t>
  </si>
  <si>
    <t>durée max calculée</t>
  </si>
  <si>
    <t>durée max (inf à max hors pause</t>
  </si>
  <si>
    <t>pasMini_en_heure</t>
  </si>
  <si>
    <t>Pas</t>
  </si>
  <si>
    <t>durée p graine</t>
  </si>
  <si>
    <t>tauxControle_PC</t>
  </si>
  <si>
    <t>taux de Contrôle s durée max</t>
  </si>
  <si>
    <t>f sélection auto fct mois</t>
  </si>
  <si>
    <t>Aléa brut</t>
  </si>
  <si>
    <t>Aléa arrondi au pas supérieur</t>
  </si>
  <si>
    <t>à faire</t>
  </si>
  <si>
    <t>10 min</t>
  </si>
  <si>
    <t>un dixième d'heure</t>
  </si>
  <si>
    <t>à la minute</t>
  </si>
  <si>
    <t>Aléa arrondi au pas inférieur</t>
  </si>
  <si>
    <t>durée min (supérieure au pas mini (donc &gt;0))</t>
  </si>
  <si>
    <t>arrondi max (inf à max hors pause</t>
  </si>
  <si>
    <t>arrondi min (sup au pas mini (donc &gt;0))</t>
  </si>
  <si>
    <t>à faire pas rigoureux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</si>
</sst>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C]mmmm\-yy;@"/>
    <numFmt numFmtId="165" formatCode="h:mm;@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</font>
    <font>
      <sz val="10"/>
      <color rgb="FFFF000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4">
    <xf numFmtId="0" fontId="0" fillId="0" borderId="0" xfId="0"/>
    <xf numFmtId="0" fontId="1" fillId="0" borderId="0" xfId="1"/>
    <xf numFmtId="0" fontId="2" fillId="0" borderId="0" xfId="2"/>
    <xf numFmtId="0" fontId="1" fillId="0" borderId="0" xfId="1" applyFont="1"/>
    <xf numFmtId="20" fontId="1" fillId="0" borderId="0" xfId="1" applyNumberFormat="1" applyFont="1"/>
    <xf numFmtId="165" fontId="1" fillId="0" borderId="0" xfId="1" applyNumberFormat="1" applyFont="1"/>
    <xf numFmtId="2" fontId="1" fillId="0" borderId="0" xfId="1" applyNumberFormat="1"/>
    <xf numFmtId="165" fontId="3" fillId="0" borderId="0" xfId="1" applyNumberFormat="1" applyFont="1"/>
    <xf numFmtId="165" fontId="1" fillId="0" borderId="0" xfId="1" applyNumberFormat="1"/>
    <xf numFmtId="0" fontId="1" fillId="0" borderId="3" xfId="1" applyBorder="1"/>
    <xf numFmtId="0" fontId="1" fillId="0" borderId="2" xfId="1" applyBorder="1"/>
    <xf numFmtId="0" fontId="1" fillId="0" borderId="4" xfId="1" applyBorder="1"/>
    <xf numFmtId="0" fontId="1" fillId="0" borderId="0" xfId="1" applyFont="1" applyAlignment="1">
      <alignment wrapText="1"/>
    </xf>
    <xf numFmtId="0" fontId="2" fillId="0" borderId="0" xfId="2" applyAlignment="1">
      <alignment wrapText="1"/>
    </xf>
    <xf numFmtId="0" fontId="1" fillId="2" borderId="0" xfId="1" applyFont="1" applyFill="1" applyAlignment="1">
      <alignment wrapText="1"/>
    </xf>
    <xf numFmtId="164" fontId="1" fillId="0" borderId="0" xfId="1" applyNumberFormat="1" applyAlignment="1">
      <alignment wrapText="1"/>
    </xf>
    <xf numFmtId="0" fontId="1" fillId="0" borderId="0" xfId="1" applyAlignment="1">
      <alignment wrapText="1"/>
    </xf>
    <xf numFmtId="164" fontId="1" fillId="0" borderId="2" xfId="1" applyNumberFormat="1" applyBorder="1" applyAlignment="1">
      <alignment wrapText="1"/>
    </xf>
    <xf numFmtId="0" fontId="3" fillId="0" borderId="0" xfId="1" applyFont="1"/>
    <xf numFmtId="0" fontId="1" fillId="0" borderId="2" xfId="1" applyBorder="1" applyAlignment="1">
      <alignment wrapText="1"/>
    </xf>
    <xf numFmtId="165" fontId="1" fillId="0" borderId="2" xfId="1" applyNumberFormat="1" applyBorder="1"/>
    <xf numFmtId="165" fontId="1" fillId="0" borderId="4" xfId="1" applyNumberFormat="1" applyBorder="1"/>
    <xf numFmtId="165" fontId="1" fillId="0" borderId="3" xfId="1" applyNumberFormat="1" applyBorder="1"/>
    <xf numFmtId="165" fontId="1" fillId="0" borderId="0" xfId="1" applyNumberFormat="1" applyBorder="1"/>
    <xf numFmtId="0" fontId="1" fillId="0" borderId="0" xfId="1" applyBorder="1" applyAlignment="1">
      <alignment wrapText="1"/>
    </xf>
    <xf numFmtId="164" fontId="1" fillId="0" borderId="0" xfId="1" applyNumberFormat="1" applyBorder="1" applyAlignment="1">
      <alignment wrapText="1"/>
    </xf>
    <xf numFmtId="0" fontId="1" fillId="0" borderId="0" xfId="1" applyBorder="1"/>
    <xf numFmtId="0" fontId="1" fillId="0" borderId="1" xfId="1" applyBorder="1"/>
    <xf numFmtId="164" fontId="1" fillId="0" borderId="1" xfId="1" applyNumberFormat="1" applyBorder="1" applyAlignment="1">
      <alignment wrapText="1"/>
    </xf>
    <xf numFmtId="0" fontId="3" fillId="0" borderId="0" xfId="1" applyFont="1" applyAlignment="1">
      <alignment wrapText="1"/>
    </xf>
    <xf numFmtId="165" fontId="1" fillId="0" borderId="0" xfId="1" applyNumberFormat="1" applyAlignment="1">
      <alignment wrapText="1"/>
    </xf>
    <xf numFmtId="0" fontId="4" fillId="0" borderId="0" xfId="1" applyFont="1"/>
    <xf numFmtId="0" fontId="4" fillId="0" borderId="0" xfId="1" applyFont="1" applyAlignment="1">
      <alignment wrapText="1"/>
    </xf>
    <xf numFmtId="164" fontId="3" fillId="0" borderId="0" xfId="1" applyNumberFormat="1" applyFont="1" applyAlignment="1">
      <alignment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ourdecontrole\Desktop\divers\VBA\VBA%20foRegistre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%20Trav1004%202017\2017-02-29%20AZBA%20to%20excel%20consignes\AZBA%20R68%20traitement%20v0.9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ourdecontrole\Desktop\divers\VBA\CCTableau%20consignes%20tri&#233;%20v0.94%20-%20Copi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var-Liste-préf"/>
      <sheetName val="idée trucs à faire"/>
      <sheetName val="Trigramme Nom Prénom"/>
      <sheetName val="VAC"/>
      <sheetName val="recupTDScomment"/>
      <sheetName val="test import TDS "/>
      <sheetName val="suite après import TDS"/>
      <sheetName val="Feuil12"/>
      <sheetName val="choix agent+Mois+NomFichier"/>
      <sheetName val="redSelectedCell"/>
      <sheetName val="TestTri1"/>
      <sheetName val="PROPOSITION"/>
      <sheetName val="Feuil1"/>
      <sheetName val="Feuil2"/>
      <sheetName val="testmacroformattage"/>
      <sheetName val="ccTDS"/>
      <sheetName val="testVBA"/>
      <sheetName val="occu 2020-01"/>
      <sheetName val="occu 2019-12"/>
      <sheetName val="yyrecupTDS"/>
    </sheetNames>
    <sheetDataSet>
      <sheetData sheetId="0"/>
      <sheetData sheetId="1"/>
      <sheetData sheetId="2">
        <row r="2">
          <cell r="A2" t="str">
            <v>BAG</v>
          </cell>
          <cell r="C2" t="str">
            <v>BAGUET_Pascal</v>
          </cell>
        </row>
        <row r="3">
          <cell r="A3" t="str">
            <v>BLT</v>
          </cell>
          <cell r="C3" t="str">
            <v>BAILET_Isabelle</v>
          </cell>
        </row>
        <row r="4">
          <cell r="A4" t="str">
            <v>BAU</v>
          </cell>
          <cell r="C4" t="str">
            <v>BAUJET_Yannick</v>
          </cell>
        </row>
        <row r="5">
          <cell r="A5" t="str">
            <v>BRT</v>
          </cell>
          <cell r="C5" t="str">
            <v>BOURRET_Paul</v>
          </cell>
        </row>
        <row r="6">
          <cell r="A6" t="str">
            <v>BOY</v>
          </cell>
          <cell r="C6" t="str">
            <v>BOYER_Laurent</v>
          </cell>
        </row>
        <row r="7">
          <cell r="A7" t="str">
            <v>CHE</v>
          </cell>
          <cell r="C7" t="str">
            <v>CHECROUN_Yorick</v>
          </cell>
        </row>
        <row r="8">
          <cell r="A8" t="str">
            <v>CVL</v>
          </cell>
          <cell r="C8" t="str">
            <v>CHEVALERIAS_Cedrick</v>
          </cell>
        </row>
        <row r="9">
          <cell r="A9" t="str">
            <v>CRG</v>
          </cell>
          <cell r="C9" t="str">
            <v>CROGUENEC_Yann</v>
          </cell>
        </row>
        <row r="10">
          <cell r="A10" t="str">
            <v>DCT</v>
          </cell>
          <cell r="C10" t="str">
            <v>DELACOSTE_Pierre_Eric</v>
          </cell>
        </row>
        <row r="11">
          <cell r="A11" t="str">
            <v>DES</v>
          </cell>
          <cell r="C11" t="str">
            <v>DESCOUR_David</v>
          </cell>
        </row>
        <row r="12">
          <cell r="A12" t="str">
            <v>DIZ</v>
          </cell>
          <cell r="C12" t="str">
            <v>DIZIERE_Olivier</v>
          </cell>
        </row>
        <row r="13">
          <cell r="A13" t="str">
            <v>DOL</v>
          </cell>
          <cell r="C13" t="str">
            <v>DOLE_Nicolas</v>
          </cell>
        </row>
        <row r="14">
          <cell r="A14" t="str">
            <v>DRR</v>
          </cell>
          <cell r="C14" t="str">
            <v>DRIRA_Kharim</v>
          </cell>
        </row>
        <row r="15">
          <cell r="A15" t="str">
            <v>DBF</v>
          </cell>
          <cell r="C15" t="str">
            <v>DROBYCHEFF_Rémi</v>
          </cell>
        </row>
        <row r="16">
          <cell r="A16" t="str">
            <v>DUV</v>
          </cell>
          <cell r="C16" t="str">
            <v>DUVERNIER_Alexandra</v>
          </cell>
        </row>
        <row r="17">
          <cell r="A17" t="str">
            <v>GEO</v>
          </cell>
          <cell r="C17" t="str">
            <v>GEORGE_Caroline</v>
          </cell>
        </row>
        <row r="18">
          <cell r="A18" t="str">
            <v>ESC</v>
          </cell>
          <cell r="C18" t="str">
            <v>ESCUDIER_Guillaume</v>
          </cell>
        </row>
        <row r="19">
          <cell r="A19" t="str">
            <v>FCD</v>
          </cell>
          <cell r="C19" t="str">
            <v>FERNANDEZ_Jonathan</v>
          </cell>
        </row>
        <row r="20">
          <cell r="A20" t="str">
            <v>FLT</v>
          </cell>
          <cell r="C20" t="str">
            <v>FLANT_Raphaël</v>
          </cell>
        </row>
        <row r="21">
          <cell r="A21" t="str">
            <v>FRM</v>
          </cell>
          <cell r="C21" t="str">
            <v>FONGARNAND_Christian</v>
          </cell>
        </row>
        <row r="22">
          <cell r="A22" t="str">
            <v>FRZ</v>
          </cell>
          <cell r="C22" t="str">
            <v>FOURCADE_Flora</v>
          </cell>
        </row>
        <row r="23">
          <cell r="A23" t="str">
            <v>GDC</v>
          </cell>
          <cell r="C23" t="str">
            <v>FROMONT_Didier</v>
          </cell>
        </row>
        <row r="24">
          <cell r="A24" t="str">
            <v>GLO</v>
          </cell>
          <cell r="C24" t="str">
            <v>GALLEGO_Pierre-Emmanuel</v>
          </cell>
        </row>
        <row r="25">
          <cell r="A25" t="str">
            <v>GTR</v>
          </cell>
          <cell r="C25" t="str">
            <v>GAUTIER_Frédéric</v>
          </cell>
        </row>
        <row r="26">
          <cell r="A26" t="str">
            <v>GNT</v>
          </cell>
          <cell r="C26" t="str">
            <v>GENOT_Aurore</v>
          </cell>
        </row>
        <row r="27">
          <cell r="A27" t="str">
            <v>GDC</v>
          </cell>
          <cell r="C27" t="str">
            <v>GREDIAC_Fabien</v>
          </cell>
        </row>
        <row r="28">
          <cell r="A28" t="str">
            <v>HIT</v>
          </cell>
          <cell r="C28" t="str">
            <v>HIET_Emmanuel</v>
          </cell>
        </row>
        <row r="29">
          <cell r="A29" t="str">
            <v>JRY</v>
          </cell>
          <cell r="C29" t="str">
            <v>JARRY_Arnaud</v>
          </cell>
        </row>
        <row r="30">
          <cell r="A30" t="str">
            <v>JVT</v>
          </cell>
          <cell r="C30" t="str">
            <v>JOLIVET_Yoann</v>
          </cell>
        </row>
        <row r="31">
          <cell r="A31" t="str">
            <v>KZK</v>
          </cell>
          <cell r="C31" t="str">
            <v>KASZCZYK_Alexis</v>
          </cell>
        </row>
        <row r="32">
          <cell r="A32" t="str">
            <v>KHA</v>
          </cell>
          <cell r="C32" t="str">
            <v>KHANCHER_Leila</v>
          </cell>
        </row>
        <row r="33">
          <cell r="A33" t="str">
            <v>LMD</v>
          </cell>
          <cell r="C33" t="str">
            <v>LAUMOND_Mathieu</v>
          </cell>
        </row>
        <row r="34">
          <cell r="A34" t="str">
            <v>LAY</v>
          </cell>
          <cell r="C34" t="str">
            <v>LAYE_Alban</v>
          </cell>
        </row>
        <row r="35">
          <cell r="A35" t="str">
            <v>LFR</v>
          </cell>
          <cell r="C35" t="str">
            <v>LE_FALHER_Pierre_Henri</v>
          </cell>
        </row>
        <row r="36">
          <cell r="A36" t="str">
            <v>LUC</v>
          </cell>
          <cell r="C36" t="str">
            <v>LUCOT_Laurent</v>
          </cell>
        </row>
        <row r="37">
          <cell r="A37" t="str">
            <v>PEY</v>
          </cell>
          <cell r="C37" t="str">
            <v>PEYRAUD_Fabrice</v>
          </cell>
        </row>
        <row r="38">
          <cell r="A38" t="str">
            <v>PHD</v>
          </cell>
          <cell r="C38" t="str">
            <v>PICHARD_Thibault</v>
          </cell>
        </row>
        <row r="39">
          <cell r="A39" t="str">
            <v>PNI</v>
          </cell>
          <cell r="C39" t="str">
            <v>POLLONI_Laurent</v>
          </cell>
        </row>
        <row r="40">
          <cell r="A40" t="str">
            <v>GGI</v>
          </cell>
          <cell r="C40" t="str">
            <v>TOBIE_Céline</v>
          </cell>
        </row>
        <row r="41">
          <cell r="A41" t="str">
            <v>TRL</v>
          </cell>
          <cell r="C41" t="str">
            <v>TOURAILLE_Céline</v>
          </cell>
        </row>
        <row r="42">
          <cell r="A42" t="str">
            <v>TDR</v>
          </cell>
          <cell r="C42" t="str">
            <v>TUDURI_Thierry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AC9">
            <v>0.6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 Notam 68 AZBA"/>
      <sheetName val="ident Notam 68-BA"/>
      <sheetName val="R68 horodate+DEFG"/>
      <sheetName val="AZBA zone-crénO"/>
      <sheetName val="AZBA horodate+DEFG"/>
      <sheetName val="YR68 AZBA horodate+DEFG"/>
      <sheetName val="YR68 extrligne v1"/>
      <sheetName val="Y R68 exbase"/>
      <sheetName val="Y AZBA exbase"/>
      <sheetName val="Y testaz"/>
      <sheetName val="decode horaires R68"/>
      <sheetName val="Y R68 AZBA decode datehoraire"/>
      <sheetName val="YR68AZBA extr date+test horod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I2">
            <v>42794</v>
          </cell>
        </row>
      </sheetData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 cours (test local"/>
      <sheetName val="import-process"/>
      <sheetName val="effectif récupéré"/>
      <sheetName val="TRI immédiat consignes"/>
      <sheetName val="Import Notam 68 AZBA"/>
      <sheetName val="ident Notam 68-BA"/>
      <sheetName val="R68 horodate+DEFG"/>
      <sheetName val="AZBA horodate+DEFG"/>
      <sheetName val="AZBA zone-crénO"/>
      <sheetName val="Activité R68 AZBA"/>
    </sheetNames>
    <sheetDataSet>
      <sheetData sheetId="0"/>
      <sheetData sheetId="1">
        <row r="213">
          <cell r="X213">
            <v>43373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/>
  <dimension ref="A1:AI35"/>
  <sheetViews>
    <sheetView tabSelected="1" topLeftCell="M1" workbookViewId="0">
      <selection activeCell="AH12" sqref="AH12"/>
    </sheetView>
  </sheetViews>
  <sheetFormatPr baseColWidth="10" defaultRowHeight="12.75" x14ac:dyDescent="0.2"/>
  <cols>
    <col min="1" max="1" width="12.7109375" style="1" customWidth="1"/>
    <col min="2" max="2" width="5.85546875" style="2" customWidth="1"/>
    <col min="3" max="3" width="5.5703125" style="1" bestFit="1" customWidth="1"/>
    <col min="4" max="4" width="6.42578125" style="1" customWidth="1"/>
    <col min="5" max="5" width="6.85546875" style="1" customWidth="1"/>
    <col min="6" max="6" width="5.28515625" style="1" customWidth="1"/>
    <col min="7" max="7" width="9.140625" style="1" customWidth="1"/>
    <col min="8" max="8" width="7" style="2" customWidth="1"/>
    <col min="9" max="10" width="5.5703125" style="1" customWidth="1"/>
    <col min="11" max="11" width="9.140625" style="1" customWidth="1"/>
    <col min="12" max="12" width="13.140625" style="1" customWidth="1"/>
    <col min="13" max="13" width="11.42578125" style="1"/>
    <col min="14" max="15" width="12.5703125" style="1" customWidth="1"/>
    <col min="16" max="16" width="10" style="1" customWidth="1"/>
    <col min="17" max="17" width="12.5703125" style="1" customWidth="1"/>
    <col min="18" max="18" width="11.42578125" style="1"/>
    <col min="19" max="19" width="8.28515625" style="1" customWidth="1"/>
    <col min="20" max="20" width="5.28515625" style="1" customWidth="1"/>
    <col min="21" max="21" width="10.85546875" style="1" customWidth="1"/>
    <col min="22" max="22" width="10.140625" style="1" customWidth="1"/>
    <col min="23" max="23" width="3.28515625" style="1" customWidth="1"/>
    <col min="24" max="24" width="9.7109375" style="1" customWidth="1"/>
    <col min="25" max="25" width="3.85546875" style="1" customWidth="1"/>
    <col min="26" max="26" width="17.5703125" style="1" customWidth="1"/>
    <col min="27" max="27" width="14.28515625" style="1" customWidth="1"/>
    <col min="28" max="28" width="3.7109375" style="1" customWidth="1"/>
    <col min="29" max="29" width="11.42578125" style="1"/>
    <col min="30" max="30" width="4.85546875" style="1" customWidth="1"/>
    <col min="31" max="32" width="11.42578125" style="1"/>
    <col min="33" max="33" width="5" style="1" customWidth="1"/>
    <col min="34" max="34" width="14.140625" style="1" customWidth="1"/>
    <col min="35" max="262" width="11.42578125" style="1"/>
    <col min="263" max="263" width="15.7109375" style="1" bestFit="1" customWidth="1"/>
    <col min="264" max="264" width="5.85546875" style="1" customWidth="1"/>
    <col min="265" max="265" width="5.5703125" style="1" bestFit="1" customWidth="1"/>
    <col min="266" max="266" width="6.42578125" style="1" customWidth="1"/>
    <col min="267" max="267" width="9.140625" style="1" customWidth="1"/>
    <col min="268" max="268" width="5.28515625" style="1" customWidth="1"/>
    <col min="269" max="269" width="9.140625" style="1" customWidth="1"/>
    <col min="270" max="270" width="7" style="1" customWidth="1"/>
    <col min="271" max="272" width="5.5703125" style="1" customWidth="1"/>
    <col min="273" max="273" width="26.42578125" style="1" customWidth="1"/>
    <col min="274" max="518" width="11.42578125" style="1"/>
    <col min="519" max="519" width="15.7109375" style="1" bestFit="1" customWidth="1"/>
    <col min="520" max="520" width="5.85546875" style="1" customWidth="1"/>
    <col min="521" max="521" width="5.5703125" style="1" bestFit="1" customWidth="1"/>
    <col min="522" max="522" width="6.42578125" style="1" customWidth="1"/>
    <col min="523" max="523" width="9.140625" style="1" customWidth="1"/>
    <col min="524" max="524" width="5.28515625" style="1" customWidth="1"/>
    <col min="525" max="525" width="9.140625" style="1" customWidth="1"/>
    <col min="526" max="526" width="7" style="1" customWidth="1"/>
    <col min="527" max="528" width="5.5703125" style="1" customWidth="1"/>
    <col min="529" max="529" width="26.42578125" style="1" customWidth="1"/>
    <col min="530" max="774" width="11.42578125" style="1"/>
    <col min="775" max="775" width="15.7109375" style="1" bestFit="1" customWidth="1"/>
    <col min="776" max="776" width="5.85546875" style="1" customWidth="1"/>
    <col min="777" max="777" width="5.5703125" style="1" bestFit="1" customWidth="1"/>
    <col min="778" max="778" width="6.42578125" style="1" customWidth="1"/>
    <col min="779" max="779" width="9.140625" style="1" customWidth="1"/>
    <col min="780" max="780" width="5.28515625" style="1" customWidth="1"/>
    <col min="781" max="781" width="9.140625" style="1" customWidth="1"/>
    <col min="782" max="782" width="7" style="1" customWidth="1"/>
    <col min="783" max="784" width="5.5703125" style="1" customWidth="1"/>
    <col min="785" max="785" width="26.42578125" style="1" customWidth="1"/>
    <col min="786" max="1030" width="11.42578125" style="1"/>
    <col min="1031" max="1031" width="15.7109375" style="1" bestFit="1" customWidth="1"/>
    <col min="1032" max="1032" width="5.85546875" style="1" customWidth="1"/>
    <col min="1033" max="1033" width="5.5703125" style="1" bestFit="1" customWidth="1"/>
    <col min="1034" max="1034" width="6.42578125" style="1" customWidth="1"/>
    <col min="1035" max="1035" width="9.140625" style="1" customWidth="1"/>
    <col min="1036" max="1036" width="5.28515625" style="1" customWidth="1"/>
    <col min="1037" max="1037" width="9.140625" style="1" customWidth="1"/>
    <col min="1038" max="1038" width="7" style="1" customWidth="1"/>
    <col min="1039" max="1040" width="5.5703125" style="1" customWidth="1"/>
    <col min="1041" max="1041" width="26.42578125" style="1" customWidth="1"/>
    <col min="1042" max="1286" width="11.42578125" style="1"/>
    <col min="1287" max="1287" width="15.7109375" style="1" bestFit="1" customWidth="1"/>
    <col min="1288" max="1288" width="5.85546875" style="1" customWidth="1"/>
    <col min="1289" max="1289" width="5.5703125" style="1" bestFit="1" customWidth="1"/>
    <col min="1290" max="1290" width="6.42578125" style="1" customWidth="1"/>
    <col min="1291" max="1291" width="9.140625" style="1" customWidth="1"/>
    <col min="1292" max="1292" width="5.28515625" style="1" customWidth="1"/>
    <col min="1293" max="1293" width="9.140625" style="1" customWidth="1"/>
    <col min="1294" max="1294" width="7" style="1" customWidth="1"/>
    <col min="1295" max="1296" width="5.5703125" style="1" customWidth="1"/>
    <col min="1297" max="1297" width="26.42578125" style="1" customWidth="1"/>
    <col min="1298" max="1542" width="11.42578125" style="1"/>
    <col min="1543" max="1543" width="15.7109375" style="1" bestFit="1" customWidth="1"/>
    <col min="1544" max="1544" width="5.85546875" style="1" customWidth="1"/>
    <col min="1545" max="1545" width="5.5703125" style="1" bestFit="1" customWidth="1"/>
    <col min="1546" max="1546" width="6.42578125" style="1" customWidth="1"/>
    <col min="1547" max="1547" width="9.140625" style="1" customWidth="1"/>
    <col min="1548" max="1548" width="5.28515625" style="1" customWidth="1"/>
    <col min="1549" max="1549" width="9.140625" style="1" customWidth="1"/>
    <col min="1550" max="1550" width="7" style="1" customWidth="1"/>
    <col min="1551" max="1552" width="5.5703125" style="1" customWidth="1"/>
    <col min="1553" max="1553" width="26.42578125" style="1" customWidth="1"/>
    <col min="1554" max="1798" width="11.42578125" style="1"/>
    <col min="1799" max="1799" width="15.7109375" style="1" bestFit="1" customWidth="1"/>
    <col min="1800" max="1800" width="5.85546875" style="1" customWidth="1"/>
    <col min="1801" max="1801" width="5.5703125" style="1" bestFit="1" customWidth="1"/>
    <col min="1802" max="1802" width="6.42578125" style="1" customWidth="1"/>
    <col min="1803" max="1803" width="9.140625" style="1" customWidth="1"/>
    <col min="1804" max="1804" width="5.28515625" style="1" customWidth="1"/>
    <col min="1805" max="1805" width="9.140625" style="1" customWidth="1"/>
    <col min="1806" max="1806" width="7" style="1" customWidth="1"/>
    <col min="1807" max="1808" width="5.5703125" style="1" customWidth="1"/>
    <col min="1809" max="1809" width="26.42578125" style="1" customWidth="1"/>
    <col min="1810" max="2054" width="11.42578125" style="1"/>
    <col min="2055" max="2055" width="15.7109375" style="1" bestFit="1" customWidth="1"/>
    <col min="2056" max="2056" width="5.85546875" style="1" customWidth="1"/>
    <col min="2057" max="2057" width="5.5703125" style="1" bestFit="1" customWidth="1"/>
    <col min="2058" max="2058" width="6.42578125" style="1" customWidth="1"/>
    <col min="2059" max="2059" width="9.140625" style="1" customWidth="1"/>
    <col min="2060" max="2060" width="5.28515625" style="1" customWidth="1"/>
    <col min="2061" max="2061" width="9.140625" style="1" customWidth="1"/>
    <col min="2062" max="2062" width="7" style="1" customWidth="1"/>
    <col min="2063" max="2064" width="5.5703125" style="1" customWidth="1"/>
    <col min="2065" max="2065" width="26.42578125" style="1" customWidth="1"/>
    <col min="2066" max="2310" width="11.42578125" style="1"/>
    <col min="2311" max="2311" width="15.7109375" style="1" bestFit="1" customWidth="1"/>
    <col min="2312" max="2312" width="5.85546875" style="1" customWidth="1"/>
    <col min="2313" max="2313" width="5.5703125" style="1" bestFit="1" customWidth="1"/>
    <col min="2314" max="2314" width="6.42578125" style="1" customWidth="1"/>
    <col min="2315" max="2315" width="9.140625" style="1" customWidth="1"/>
    <col min="2316" max="2316" width="5.28515625" style="1" customWidth="1"/>
    <col min="2317" max="2317" width="9.140625" style="1" customWidth="1"/>
    <col min="2318" max="2318" width="7" style="1" customWidth="1"/>
    <col min="2319" max="2320" width="5.5703125" style="1" customWidth="1"/>
    <col min="2321" max="2321" width="26.42578125" style="1" customWidth="1"/>
    <col min="2322" max="2566" width="11.42578125" style="1"/>
    <col min="2567" max="2567" width="15.7109375" style="1" bestFit="1" customWidth="1"/>
    <col min="2568" max="2568" width="5.85546875" style="1" customWidth="1"/>
    <col min="2569" max="2569" width="5.5703125" style="1" bestFit="1" customWidth="1"/>
    <col min="2570" max="2570" width="6.42578125" style="1" customWidth="1"/>
    <col min="2571" max="2571" width="9.140625" style="1" customWidth="1"/>
    <col min="2572" max="2572" width="5.28515625" style="1" customWidth="1"/>
    <col min="2573" max="2573" width="9.140625" style="1" customWidth="1"/>
    <col min="2574" max="2574" width="7" style="1" customWidth="1"/>
    <col min="2575" max="2576" width="5.5703125" style="1" customWidth="1"/>
    <col min="2577" max="2577" width="26.42578125" style="1" customWidth="1"/>
    <col min="2578" max="2822" width="11.42578125" style="1"/>
    <col min="2823" max="2823" width="15.7109375" style="1" bestFit="1" customWidth="1"/>
    <col min="2824" max="2824" width="5.85546875" style="1" customWidth="1"/>
    <col min="2825" max="2825" width="5.5703125" style="1" bestFit="1" customWidth="1"/>
    <col min="2826" max="2826" width="6.42578125" style="1" customWidth="1"/>
    <col min="2827" max="2827" width="9.140625" style="1" customWidth="1"/>
    <col min="2828" max="2828" width="5.28515625" style="1" customWidth="1"/>
    <col min="2829" max="2829" width="9.140625" style="1" customWidth="1"/>
    <col min="2830" max="2830" width="7" style="1" customWidth="1"/>
    <col min="2831" max="2832" width="5.5703125" style="1" customWidth="1"/>
    <col min="2833" max="2833" width="26.42578125" style="1" customWidth="1"/>
    <col min="2834" max="3078" width="11.42578125" style="1"/>
    <col min="3079" max="3079" width="15.7109375" style="1" bestFit="1" customWidth="1"/>
    <col min="3080" max="3080" width="5.85546875" style="1" customWidth="1"/>
    <col min="3081" max="3081" width="5.5703125" style="1" bestFit="1" customWidth="1"/>
    <col min="3082" max="3082" width="6.42578125" style="1" customWidth="1"/>
    <col min="3083" max="3083" width="9.140625" style="1" customWidth="1"/>
    <col min="3084" max="3084" width="5.28515625" style="1" customWidth="1"/>
    <col min="3085" max="3085" width="9.140625" style="1" customWidth="1"/>
    <col min="3086" max="3086" width="7" style="1" customWidth="1"/>
    <col min="3087" max="3088" width="5.5703125" style="1" customWidth="1"/>
    <col min="3089" max="3089" width="26.42578125" style="1" customWidth="1"/>
    <col min="3090" max="3334" width="11.42578125" style="1"/>
    <col min="3335" max="3335" width="15.7109375" style="1" bestFit="1" customWidth="1"/>
    <col min="3336" max="3336" width="5.85546875" style="1" customWidth="1"/>
    <col min="3337" max="3337" width="5.5703125" style="1" bestFit="1" customWidth="1"/>
    <col min="3338" max="3338" width="6.42578125" style="1" customWidth="1"/>
    <col min="3339" max="3339" width="9.140625" style="1" customWidth="1"/>
    <col min="3340" max="3340" width="5.28515625" style="1" customWidth="1"/>
    <col min="3341" max="3341" width="9.140625" style="1" customWidth="1"/>
    <col min="3342" max="3342" width="7" style="1" customWidth="1"/>
    <col min="3343" max="3344" width="5.5703125" style="1" customWidth="1"/>
    <col min="3345" max="3345" width="26.42578125" style="1" customWidth="1"/>
    <col min="3346" max="3590" width="11.42578125" style="1"/>
    <col min="3591" max="3591" width="15.7109375" style="1" bestFit="1" customWidth="1"/>
    <col min="3592" max="3592" width="5.85546875" style="1" customWidth="1"/>
    <col min="3593" max="3593" width="5.5703125" style="1" bestFit="1" customWidth="1"/>
    <col min="3594" max="3594" width="6.42578125" style="1" customWidth="1"/>
    <col min="3595" max="3595" width="9.140625" style="1" customWidth="1"/>
    <col min="3596" max="3596" width="5.28515625" style="1" customWidth="1"/>
    <col min="3597" max="3597" width="9.140625" style="1" customWidth="1"/>
    <col min="3598" max="3598" width="7" style="1" customWidth="1"/>
    <col min="3599" max="3600" width="5.5703125" style="1" customWidth="1"/>
    <col min="3601" max="3601" width="26.42578125" style="1" customWidth="1"/>
    <col min="3602" max="3846" width="11.42578125" style="1"/>
    <col min="3847" max="3847" width="15.7109375" style="1" bestFit="1" customWidth="1"/>
    <col min="3848" max="3848" width="5.85546875" style="1" customWidth="1"/>
    <col min="3849" max="3849" width="5.5703125" style="1" bestFit="1" customWidth="1"/>
    <col min="3850" max="3850" width="6.42578125" style="1" customWidth="1"/>
    <col min="3851" max="3851" width="9.140625" style="1" customWidth="1"/>
    <col min="3852" max="3852" width="5.28515625" style="1" customWidth="1"/>
    <col min="3853" max="3853" width="9.140625" style="1" customWidth="1"/>
    <col min="3854" max="3854" width="7" style="1" customWidth="1"/>
    <col min="3855" max="3856" width="5.5703125" style="1" customWidth="1"/>
    <col min="3857" max="3857" width="26.42578125" style="1" customWidth="1"/>
    <col min="3858" max="4102" width="11.42578125" style="1"/>
    <col min="4103" max="4103" width="15.7109375" style="1" bestFit="1" customWidth="1"/>
    <col min="4104" max="4104" width="5.85546875" style="1" customWidth="1"/>
    <col min="4105" max="4105" width="5.5703125" style="1" bestFit="1" customWidth="1"/>
    <col min="4106" max="4106" width="6.42578125" style="1" customWidth="1"/>
    <col min="4107" max="4107" width="9.140625" style="1" customWidth="1"/>
    <col min="4108" max="4108" width="5.28515625" style="1" customWidth="1"/>
    <col min="4109" max="4109" width="9.140625" style="1" customWidth="1"/>
    <col min="4110" max="4110" width="7" style="1" customWidth="1"/>
    <col min="4111" max="4112" width="5.5703125" style="1" customWidth="1"/>
    <col min="4113" max="4113" width="26.42578125" style="1" customWidth="1"/>
    <col min="4114" max="4358" width="11.42578125" style="1"/>
    <col min="4359" max="4359" width="15.7109375" style="1" bestFit="1" customWidth="1"/>
    <col min="4360" max="4360" width="5.85546875" style="1" customWidth="1"/>
    <col min="4361" max="4361" width="5.5703125" style="1" bestFit="1" customWidth="1"/>
    <col min="4362" max="4362" width="6.42578125" style="1" customWidth="1"/>
    <col min="4363" max="4363" width="9.140625" style="1" customWidth="1"/>
    <col min="4364" max="4364" width="5.28515625" style="1" customWidth="1"/>
    <col min="4365" max="4365" width="9.140625" style="1" customWidth="1"/>
    <col min="4366" max="4366" width="7" style="1" customWidth="1"/>
    <col min="4367" max="4368" width="5.5703125" style="1" customWidth="1"/>
    <col min="4369" max="4369" width="26.42578125" style="1" customWidth="1"/>
    <col min="4370" max="4614" width="11.42578125" style="1"/>
    <col min="4615" max="4615" width="15.7109375" style="1" bestFit="1" customWidth="1"/>
    <col min="4616" max="4616" width="5.85546875" style="1" customWidth="1"/>
    <col min="4617" max="4617" width="5.5703125" style="1" bestFit="1" customWidth="1"/>
    <col min="4618" max="4618" width="6.42578125" style="1" customWidth="1"/>
    <col min="4619" max="4619" width="9.140625" style="1" customWidth="1"/>
    <col min="4620" max="4620" width="5.28515625" style="1" customWidth="1"/>
    <col min="4621" max="4621" width="9.140625" style="1" customWidth="1"/>
    <col min="4622" max="4622" width="7" style="1" customWidth="1"/>
    <col min="4623" max="4624" width="5.5703125" style="1" customWidth="1"/>
    <col min="4625" max="4625" width="26.42578125" style="1" customWidth="1"/>
    <col min="4626" max="4870" width="11.42578125" style="1"/>
    <col min="4871" max="4871" width="15.7109375" style="1" bestFit="1" customWidth="1"/>
    <col min="4872" max="4872" width="5.85546875" style="1" customWidth="1"/>
    <col min="4873" max="4873" width="5.5703125" style="1" bestFit="1" customWidth="1"/>
    <col min="4874" max="4874" width="6.42578125" style="1" customWidth="1"/>
    <col min="4875" max="4875" width="9.140625" style="1" customWidth="1"/>
    <col min="4876" max="4876" width="5.28515625" style="1" customWidth="1"/>
    <col min="4877" max="4877" width="9.140625" style="1" customWidth="1"/>
    <col min="4878" max="4878" width="7" style="1" customWidth="1"/>
    <col min="4879" max="4880" width="5.5703125" style="1" customWidth="1"/>
    <col min="4881" max="4881" width="26.42578125" style="1" customWidth="1"/>
    <col min="4882" max="5126" width="11.42578125" style="1"/>
    <col min="5127" max="5127" width="15.7109375" style="1" bestFit="1" customWidth="1"/>
    <col min="5128" max="5128" width="5.85546875" style="1" customWidth="1"/>
    <col min="5129" max="5129" width="5.5703125" style="1" bestFit="1" customWidth="1"/>
    <col min="5130" max="5130" width="6.42578125" style="1" customWidth="1"/>
    <col min="5131" max="5131" width="9.140625" style="1" customWidth="1"/>
    <col min="5132" max="5132" width="5.28515625" style="1" customWidth="1"/>
    <col min="5133" max="5133" width="9.140625" style="1" customWidth="1"/>
    <col min="5134" max="5134" width="7" style="1" customWidth="1"/>
    <col min="5135" max="5136" width="5.5703125" style="1" customWidth="1"/>
    <col min="5137" max="5137" width="26.42578125" style="1" customWidth="1"/>
    <col min="5138" max="5382" width="11.42578125" style="1"/>
    <col min="5383" max="5383" width="15.7109375" style="1" bestFit="1" customWidth="1"/>
    <col min="5384" max="5384" width="5.85546875" style="1" customWidth="1"/>
    <col min="5385" max="5385" width="5.5703125" style="1" bestFit="1" customWidth="1"/>
    <col min="5386" max="5386" width="6.42578125" style="1" customWidth="1"/>
    <col min="5387" max="5387" width="9.140625" style="1" customWidth="1"/>
    <col min="5388" max="5388" width="5.28515625" style="1" customWidth="1"/>
    <col min="5389" max="5389" width="9.140625" style="1" customWidth="1"/>
    <col min="5390" max="5390" width="7" style="1" customWidth="1"/>
    <col min="5391" max="5392" width="5.5703125" style="1" customWidth="1"/>
    <col min="5393" max="5393" width="26.42578125" style="1" customWidth="1"/>
    <col min="5394" max="5638" width="11.42578125" style="1"/>
    <col min="5639" max="5639" width="15.7109375" style="1" bestFit="1" customWidth="1"/>
    <col min="5640" max="5640" width="5.85546875" style="1" customWidth="1"/>
    <col min="5641" max="5641" width="5.5703125" style="1" bestFit="1" customWidth="1"/>
    <col min="5642" max="5642" width="6.42578125" style="1" customWidth="1"/>
    <col min="5643" max="5643" width="9.140625" style="1" customWidth="1"/>
    <col min="5644" max="5644" width="5.28515625" style="1" customWidth="1"/>
    <col min="5645" max="5645" width="9.140625" style="1" customWidth="1"/>
    <col min="5646" max="5646" width="7" style="1" customWidth="1"/>
    <col min="5647" max="5648" width="5.5703125" style="1" customWidth="1"/>
    <col min="5649" max="5649" width="26.42578125" style="1" customWidth="1"/>
    <col min="5650" max="5894" width="11.42578125" style="1"/>
    <col min="5895" max="5895" width="15.7109375" style="1" bestFit="1" customWidth="1"/>
    <col min="5896" max="5896" width="5.85546875" style="1" customWidth="1"/>
    <col min="5897" max="5897" width="5.5703125" style="1" bestFit="1" customWidth="1"/>
    <col min="5898" max="5898" width="6.42578125" style="1" customWidth="1"/>
    <col min="5899" max="5899" width="9.140625" style="1" customWidth="1"/>
    <col min="5900" max="5900" width="5.28515625" style="1" customWidth="1"/>
    <col min="5901" max="5901" width="9.140625" style="1" customWidth="1"/>
    <col min="5902" max="5902" width="7" style="1" customWidth="1"/>
    <col min="5903" max="5904" width="5.5703125" style="1" customWidth="1"/>
    <col min="5905" max="5905" width="26.42578125" style="1" customWidth="1"/>
    <col min="5906" max="6150" width="11.42578125" style="1"/>
    <col min="6151" max="6151" width="15.7109375" style="1" bestFit="1" customWidth="1"/>
    <col min="6152" max="6152" width="5.85546875" style="1" customWidth="1"/>
    <col min="6153" max="6153" width="5.5703125" style="1" bestFit="1" customWidth="1"/>
    <col min="6154" max="6154" width="6.42578125" style="1" customWidth="1"/>
    <col min="6155" max="6155" width="9.140625" style="1" customWidth="1"/>
    <col min="6156" max="6156" width="5.28515625" style="1" customWidth="1"/>
    <col min="6157" max="6157" width="9.140625" style="1" customWidth="1"/>
    <col min="6158" max="6158" width="7" style="1" customWidth="1"/>
    <col min="6159" max="6160" width="5.5703125" style="1" customWidth="1"/>
    <col min="6161" max="6161" width="26.42578125" style="1" customWidth="1"/>
    <col min="6162" max="6406" width="11.42578125" style="1"/>
    <col min="6407" max="6407" width="15.7109375" style="1" bestFit="1" customWidth="1"/>
    <col min="6408" max="6408" width="5.85546875" style="1" customWidth="1"/>
    <col min="6409" max="6409" width="5.5703125" style="1" bestFit="1" customWidth="1"/>
    <col min="6410" max="6410" width="6.42578125" style="1" customWidth="1"/>
    <col min="6411" max="6411" width="9.140625" style="1" customWidth="1"/>
    <col min="6412" max="6412" width="5.28515625" style="1" customWidth="1"/>
    <col min="6413" max="6413" width="9.140625" style="1" customWidth="1"/>
    <col min="6414" max="6414" width="7" style="1" customWidth="1"/>
    <col min="6415" max="6416" width="5.5703125" style="1" customWidth="1"/>
    <col min="6417" max="6417" width="26.42578125" style="1" customWidth="1"/>
    <col min="6418" max="6662" width="11.42578125" style="1"/>
    <col min="6663" max="6663" width="15.7109375" style="1" bestFit="1" customWidth="1"/>
    <col min="6664" max="6664" width="5.85546875" style="1" customWidth="1"/>
    <col min="6665" max="6665" width="5.5703125" style="1" bestFit="1" customWidth="1"/>
    <col min="6666" max="6666" width="6.42578125" style="1" customWidth="1"/>
    <col min="6667" max="6667" width="9.140625" style="1" customWidth="1"/>
    <col min="6668" max="6668" width="5.28515625" style="1" customWidth="1"/>
    <col min="6669" max="6669" width="9.140625" style="1" customWidth="1"/>
    <col min="6670" max="6670" width="7" style="1" customWidth="1"/>
    <col min="6671" max="6672" width="5.5703125" style="1" customWidth="1"/>
    <col min="6673" max="6673" width="26.42578125" style="1" customWidth="1"/>
    <col min="6674" max="6918" width="11.42578125" style="1"/>
    <col min="6919" max="6919" width="15.7109375" style="1" bestFit="1" customWidth="1"/>
    <col min="6920" max="6920" width="5.85546875" style="1" customWidth="1"/>
    <col min="6921" max="6921" width="5.5703125" style="1" bestFit="1" customWidth="1"/>
    <col min="6922" max="6922" width="6.42578125" style="1" customWidth="1"/>
    <col min="6923" max="6923" width="9.140625" style="1" customWidth="1"/>
    <col min="6924" max="6924" width="5.28515625" style="1" customWidth="1"/>
    <col min="6925" max="6925" width="9.140625" style="1" customWidth="1"/>
    <col min="6926" max="6926" width="7" style="1" customWidth="1"/>
    <col min="6927" max="6928" width="5.5703125" style="1" customWidth="1"/>
    <col min="6929" max="6929" width="26.42578125" style="1" customWidth="1"/>
    <col min="6930" max="7174" width="11.42578125" style="1"/>
    <col min="7175" max="7175" width="15.7109375" style="1" bestFit="1" customWidth="1"/>
    <col min="7176" max="7176" width="5.85546875" style="1" customWidth="1"/>
    <col min="7177" max="7177" width="5.5703125" style="1" bestFit="1" customWidth="1"/>
    <col min="7178" max="7178" width="6.42578125" style="1" customWidth="1"/>
    <col min="7179" max="7179" width="9.140625" style="1" customWidth="1"/>
    <col min="7180" max="7180" width="5.28515625" style="1" customWidth="1"/>
    <col min="7181" max="7181" width="9.140625" style="1" customWidth="1"/>
    <col min="7182" max="7182" width="7" style="1" customWidth="1"/>
    <col min="7183" max="7184" width="5.5703125" style="1" customWidth="1"/>
    <col min="7185" max="7185" width="26.42578125" style="1" customWidth="1"/>
    <col min="7186" max="7430" width="11.42578125" style="1"/>
    <col min="7431" max="7431" width="15.7109375" style="1" bestFit="1" customWidth="1"/>
    <col min="7432" max="7432" width="5.85546875" style="1" customWidth="1"/>
    <col min="7433" max="7433" width="5.5703125" style="1" bestFit="1" customWidth="1"/>
    <col min="7434" max="7434" width="6.42578125" style="1" customWidth="1"/>
    <col min="7435" max="7435" width="9.140625" style="1" customWidth="1"/>
    <col min="7436" max="7436" width="5.28515625" style="1" customWidth="1"/>
    <col min="7437" max="7437" width="9.140625" style="1" customWidth="1"/>
    <col min="7438" max="7438" width="7" style="1" customWidth="1"/>
    <col min="7439" max="7440" width="5.5703125" style="1" customWidth="1"/>
    <col min="7441" max="7441" width="26.42578125" style="1" customWidth="1"/>
    <col min="7442" max="7686" width="11.42578125" style="1"/>
    <col min="7687" max="7687" width="15.7109375" style="1" bestFit="1" customWidth="1"/>
    <col min="7688" max="7688" width="5.85546875" style="1" customWidth="1"/>
    <col min="7689" max="7689" width="5.5703125" style="1" bestFit="1" customWidth="1"/>
    <col min="7690" max="7690" width="6.42578125" style="1" customWidth="1"/>
    <col min="7691" max="7691" width="9.140625" style="1" customWidth="1"/>
    <col min="7692" max="7692" width="5.28515625" style="1" customWidth="1"/>
    <col min="7693" max="7693" width="9.140625" style="1" customWidth="1"/>
    <col min="7694" max="7694" width="7" style="1" customWidth="1"/>
    <col min="7695" max="7696" width="5.5703125" style="1" customWidth="1"/>
    <col min="7697" max="7697" width="26.42578125" style="1" customWidth="1"/>
    <col min="7698" max="7942" width="11.42578125" style="1"/>
    <col min="7943" max="7943" width="15.7109375" style="1" bestFit="1" customWidth="1"/>
    <col min="7944" max="7944" width="5.85546875" style="1" customWidth="1"/>
    <col min="7945" max="7945" width="5.5703125" style="1" bestFit="1" customWidth="1"/>
    <col min="7946" max="7946" width="6.42578125" style="1" customWidth="1"/>
    <col min="7947" max="7947" width="9.140625" style="1" customWidth="1"/>
    <col min="7948" max="7948" width="5.28515625" style="1" customWidth="1"/>
    <col min="7949" max="7949" width="9.140625" style="1" customWidth="1"/>
    <col min="7950" max="7950" width="7" style="1" customWidth="1"/>
    <col min="7951" max="7952" width="5.5703125" style="1" customWidth="1"/>
    <col min="7953" max="7953" width="26.42578125" style="1" customWidth="1"/>
    <col min="7954" max="8198" width="11.42578125" style="1"/>
    <col min="8199" max="8199" width="15.7109375" style="1" bestFit="1" customWidth="1"/>
    <col min="8200" max="8200" width="5.85546875" style="1" customWidth="1"/>
    <col min="8201" max="8201" width="5.5703125" style="1" bestFit="1" customWidth="1"/>
    <col min="8202" max="8202" width="6.42578125" style="1" customWidth="1"/>
    <col min="8203" max="8203" width="9.140625" style="1" customWidth="1"/>
    <col min="8204" max="8204" width="5.28515625" style="1" customWidth="1"/>
    <col min="8205" max="8205" width="9.140625" style="1" customWidth="1"/>
    <col min="8206" max="8206" width="7" style="1" customWidth="1"/>
    <col min="8207" max="8208" width="5.5703125" style="1" customWidth="1"/>
    <col min="8209" max="8209" width="26.42578125" style="1" customWidth="1"/>
    <col min="8210" max="8454" width="11.42578125" style="1"/>
    <col min="8455" max="8455" width="15.7109375" style="1" bestFit="1" customWidth="1"/>
    <col min="8456" max="8456" width="5.85546875" style="1" customWidth="1"/>
    <col min="8457" max="8457" width="5.5703125" style="1" bestFit="1" customWidth="1"/>
    <col min="8458" max="8458" width="6.42578125" style="1" customWidth="1"/>
    <col min="8459" max="8459" width="9.140625" style="1" customWidth="1"/>
    <col min="8460" max="8460" width="5.28515625" style="1" customWidth="1"/>
    <col min="8461" max="8461" width="9.140625" style="1" customWidth="1"/>
    <col min="8462" max="8462" width="7" style="1" customWidth="1"/>
    <col min="8463" max="8464" width="5.5703125" style="1" customWidth="1"/>
    <col min="8465" max="8465" width="26.42578125" style="1" customWidth="1"/>
    <col min="8466" max="8710" width="11.42578125" style="1"/>
    <col min="8711" max="8711" width="15.7109375" style="1" bestFit="1" customWidth="1"/>
    <col min="8712" max="8712" width="5.85546875" style="1" customWidth="1"/>
    <col min="8713" max="8713" width="5.5703125" style="1" bestFit="1" customWidth="1"/>
    <col min="8714" max="8714" width="6.42578125" style="1" customWidth="1"/>
    <col min="8715" max="8715" width="9.140625" style="1" customWidth="1"/>
    <col min="8716" max="8716" width="5.28515625" style="1" customWidth="1"/>
    <col min="8717" max="8717" width="9.140625" style="1" customWidth="1"/>
    <col min="8718" max="8718" width="7" style="1" customWidth="1"/>
    <col min="8719" max="8720" width="5.5703125" style="1" customWidth="1"/>
    <col min="8721" max="8721" width="26.42578125" style="1" customWidth="1"/>
    <col min="8722" max="8966" width="11.42578125" style="1"/>
    <col min="8967" max="8967" width="15.7109375" style="1" bestFit="1" customWidth="1"/>
    <col min="8968" max="8968" width="5.85546875" style="1" customWidth="1"/>
    <col min="8969" max="8969" width="5.5703125" style="1" bestFit="1" customWidth="1"/>
    <col min="8970" max="8970" width="6.42578125" style="1" customWidth="1"/>
    <col min="8971" max="8971" width="9.140625" style="1" customWidth="1"/>
    <col min="8972" max="8972" width="5.28515625" style="1" customWidth="1"/>
    <col min="8973" max="8973" width="9.140625" style="1" customWidth="1"/>
    <col min="8974" max="8974" width="7" style="1" customWidth="1"/>
    <col min="8975" max="8976" width="5.5703125" style="1" customWidth="1"/>
    <col min="8977" max="8977" width="26.42578125" style="1" customWidth="1"/>
    <col min="8978" max="9222" width="11.42578125" style="1"/>
    <col min="9223" max="9223" width="15.7109375" style="1" bestFit="1" customWidth="1"/>
    <col min="9224" max="9224" width="5.85546875" style="1" customWidth="1"/>
    <col min="9225" max="9225" width="5.5703125" style="1" bestFit="1" customWidth="1"/>
    <col min="9226" max="9226" width="6.42578125" style="1" customWidth="1"/>
    <col min="9227" max="9227" width="9.140625" style="1" customWidth="1"/>
    <col min="9228" max="9228" width="5.28515625" style="1" customWidth="1"/>
    <col min="9229" max="9229" width="9.140625" style="1" customWidth="1"/>
    <col min="9230" max="9230" width="7" style="1" customWidth="1"/>
    <col min="9231" max="9232" width="5.5703125" style="1" customWidth="1"/>
    <col min="9233" max="9233" width="26.42578125" style="1" customWidth="1"/>
    <col min="9234" max="9478" width="11.42578125" style="1"/>
    <col min="9479" max="9479" width="15.7109375" style="1" bestFit="1" customWidth="1"/>
    <col min="9480" max="9480" width="5.85546875" style="1" customWidth="1"/>
    <col min="9481" max="9481" width="5.5703125" style="1" bestFit="1" customWidth="1"/>
    <col min="9482" max="9482" width="6.42578125" style="1" customWidth="1"/>
    <col min="9483" max="9483" width="9.140625" style="1" customWidth="1"/>
    <col min="9484" max="9484" width="5.28515625" style="1" customWidth="1"/>
    <col min="9485" max="9485" width="9.140625" style="1" customWidth="1"/>
    <col min="9486" max="9486" width="7" style="1" customWidth="1"/>
    <col min="9487" max="9488" width="5.5703125" style="1" customWidth="1"/>
    <col min="9489" max="9489" width="26.42578125" style="1" customWidth="1"/>
    <col min="9490" max="9734" width="11.42578125" style="1"/>
    <col min="9735" max="9735" width="15.7109375" style="1" bestFit="1" customWidth="1"/>
    <col min="9736" max="9736" width="5.85546875" style="1" customWidth="1"/>
    <col min="9737" max="9737" width="5.5703125" style="1" bestFit="1" customWidth="1"/>
    <col min="9738" max="9738" width="6.42578125" style="1" customWidth="1"/>
    <col min="9739" max="9739" width="9.140625" style="1" customWidth="1"/>
    <col min="9740" max="9740" width="5.28515625" style="1" customWidth="1"/>
    <col min="9741" max="9741" width="9.140625" style="1" customWidth="1"/>
    <col min="9742" max="9742" width="7" style="1" customWidth="1"/>
    <col min="9743" max="9744" width="5.5703125" style="1" customWidth="1"/>
    <col min="9745" max="9745" width="26.42578125" style="1" customWidth="1"/>
    <col min="9746" max="9990" width="11.42578125" style="1"/>
    <col min="9991" max="9991" width="15.7109375" style="1" bestFit="1" customWidth="1"/>
    <col min="9992" max="9992" width="5.85546875" style="1" customWidth="1"/>
    <col min="9993" max="9993" width="5.5703125" style="1" bestFit="1" customWidth="1"/>
    <col min="9994" max="9994" width="6.42578125" style="1" customWidth="1"/>
    <col min="9995" max="9995" width="9.140625" style="1" customWidth="1"/>
    <col min="9996" max="9996" width="5.28515625" style="1" customWidth="1"/>
    <col min="9997" max="9997" width="9.140625" style="1" customWidth="1"/>
    <col min="9998" max="9998" width="7" style="1" customWidth="1"/>
    <col min="9999" max="10000" width="5.5703125" style="1" customWidth="1"/>
    <col min="10001" max="10001" width="26.42578125" style="1" customWidth="1"/>
    <col min="10002" max="10246" width="11.42578125" style="1"/>
    <col min="10247" max="10247" width="15.7109375" style="1" bestFit="1" customWidth="1"/>
    <col min="10248" max="10248" width="5.85546875" style="1" customWidth="1"/>
    <col min="10249" max="10249" width="5.5703125" style="1" bestFit="1" customWidth="1"/>
    <col min="10250" max="10250" width="6.42578125" style="1" customWidth="1"/>
    <col min="10251" max="10251" width="9.140625" style="1" customWidth="1"/>
    <col min="10252" max="10252" width="5.28515625" style="1" customWidth="1"/>
    <col min="10253" max="10253" width="9.140625" style="1" customWidth="1"/>
    <col min="10254" max="10254" width="7" style="1" customWidth="1"/>
    <col min="10255" max="10256" width="5.5703125" style="1" customWidth="1"/>
    <col min="10257" max="10257" width="26.42578125" style="1" customWidth="1"/>
    <col min="10258" max="10502" width="11.42578125" style="1"/>
    <col min="10503" max="10503" width="15.7109375" style="1" bestFit="1" customWidth="1"/>
    <col min="10504" max="10504" width="5.85546875" style="1" customWidth="1"/>
    <col min="10505" max="10505" width="5.5703125" style="1" bestFit="1" customWidth="1"/>
    <col min="10506" max="10506" width="6.42578125" style="1" customWidth="1"/>
    <col min="10507" max="10507" width="9.140625" style="1" customWidth="1"/>
    <col min="10508" max="10508" width="5.28515625" style="1" customWidth="1"/>
    <col min="10509" max="10509" width="9.140625" style="1" customWidth="1"/>
    <col min="10510" max="10510" width="7" style="1" customWidth="1"/>
    <col min="10511" max="10512" width="5.5703125" style="1" customWidth="1"/>
    <col min="10513" max="10513" width="26.42578125" style="1" customWidth="1"/>
    <col min="10514" max="10758" width="11.42578125" style="1"/>
    <col min="10759" max="10759" width="15.7109375" style="1" bestFit="1" customWidth="1"/>
    <col min="10760" max="10760" width="5.85546875" style="1" customWidth="1"/>
    <col min="10761" max="10761" width="5.5703125" style="1" bestFit="1" customWidth="1"/>
    <col min="10762" max="10762" width="6.42578125" style="1" customWidth="1"/>
    <col min="10763" max="10763" width="9.140625" style="1" customWidth="1"/>
    <col min="10764" max="10764" width="5.28515625" style="1" customWidth="1"/>
    <col min="10765" max="10765" width="9.140625" style="1" customWidth="1"/>
    <col min="10766" max="10766" width="7" style="1" customWidth="1"/>
    <col min="10767" max="10768" width="5.5703125" style="1" customWidth="1"/>
    <col min="10769" max="10769" width="26.42578125" style="1" customWidth="1"/>
    <col min="10770" max="11014" width="11.42578125" style="1"/>
    <col min="11015" max="11015" width="15.7109375" style="1" bestFit="1" customWidth="1"/>
    <col min="11016" max="11016" width="5.85546875" style="1" customWidth="1"/>
    <col min="11017" max="11017" width="5.5703125" style="1" bestFit="1" customWidth="1"/>
    <col min="11018" max="11018" width="6.42578125" style="1" customWidth="1"/>
    <col min="11019" max="11019" width="9.140625" style="1" customWidth="1"/>
    <col min="11020" max="11020" width="5.28515625" style="1" customWidth="1"/>
    <col min="11021" max="11021" width="9.140625" style="1" customWidth="1"/>
    <col min="11022" max="11022" width="7" style="1" customWidth="1"/>
    <col min="11023" max="11024" width="5.5703125" style="1" customWidth="1"/>
    <col min="11025" max="11025" width="26.42578125" style="1" customWidth="1"/>
    <col min="11026" max="11270" width="11.42578125" style="1"/>
    <col min="11271" max="11271" width="15.7109375" style="1" bestFit="1" customWidth="1"/>
    <col min="11272" max="11272" width="5.85546875" style="1" customWidth="1"/>
    <col min="11273" max="11273" width="5.5703125" style="1" bestFit="1" customWidth="1"/>
    <col min="11274" max="11274" width="6.42578125" style="1" customWidth="1"/>
    <col min="11275" max="11275" width="9.140625" style="1" customWidth="1"/>
    <col min="11276" max="11276" width="5.28515625" style="1" customWidth="1"/>
    <col min="11277" max="11277" width="9.140625" style="1" customWidth="1"/>
    <col min="11278" max="11278" width="7" style="1" customWidth="1"/>
    <col min="11279" max="11280" width="5.5703125" style="1" customWidth="1"/>
    <col min="11281" max="11281" width="26.42578125" style="1" customWidth="1"/>
    <col min="11282" max="11526" width="11.42578125" style="1"/>
    <col min="11527" max="11527" width="15.7109375" style="1" bestFit="1" customWidth="1"/>
    <col min="11528" max="11528" width="5.85546875" style="1" customWidth="1"/>
    <col min="11529" max="11529" width="5.5703125" style="1" bestFit="1" customWidth="1"/>
    <col min="11530" max="11530" width="6.42578125" style="1" customWidth="1"/>
    <col min="11531" max="11531" width="9.140625" style="1" customWidth="1"/>
    <col min="11532" max="11532" width="5.28515625" style="1" customWidth="1"/>
    <col min="11533" max="11533" width="9.140625" style="1" customWidth="1"/>
    <col min="11534" max="11534" width="7" style="1" customWidth="1"/>
    <col min="11535" max="11536" width="5.5703125" style="1" customWidth="1"/>
    <col min="11537" max="11537" width="26.42578125" style="1" customWidth="1"/>
    <col min="11538" max="11782" width="11.42578125" style="1"/>
    <col min="11783" max="11783" width="15.7109375" style="1" bestFit="1" customWidth="1"/>
    <col min="11784" max="11784" width="5.85546875" style="1" customWidth="1"/>
    <col min="11785" max="11785" width="5.5703125" style="1" bestFit="1" customWidth="1"/>
    <col min="11786" max="11786" width="6.42578125" style="1" customWidth="1"/>
    <col min="11787" max="11787" width="9.140625" style="1" customWidth="1"/>
    <col min="11788" max="11788" width="5.28515625" style="1" customWidth="1"/>
    <col min="11789" max="11789" width="9.140625" style="1" customWidth="1"/>
    <col min="11790" max="11790" width="7" style="1" customWidth="1"/>
    <col min="11791" max="11792" width="5.5703125" style="1" customWidth="1"/>
    <col min="11793" max="11793" width="26.42578125" style="1" customWidth="1"/>
    <col min="11794" max="12038" width="11.42578125" style="1"/>
    <col min="12039" max="12039" width="15.7109375" style="1" bestFit="1" customWidth="1"/>
    <col min="12040" max="12040" width="5.85546875" style="1" customWidth="1"/>
    <col min="12041" max="12041" width="5.5703125" style="1" bestFit="1" customWidth="1"/>
    <col min="12042" max="12042" width="6.42578125" style="1" customWidth="1"/>
    <col min="12043" max="12043" width="9.140625" style="1" customWidth="1"/>
    <col min="12044" max="12044" width="5.28515625" style="1" customWidth="1"/>
    <col min="12045" max="12045" width="9.140625" style="1" customWidth="1"/>
    <col min="12046" max="12046" width="7" style="1" customWidth="1"/>
    <col min="12047" max="12048" width="5.5703125" style="1" customWidth="1"/>
    <col min="12049" max="12049" width="26.42578125" style="1" customWidth="1"/>
    <col min="12050" max="12294" width="11.42578125" style="1"/>
    <col min="12295" max="12295" width="15.7109375" style="1" bestFit="1" customWidth="1"/>
    <col min="12296" max="12296" width="5.85546875" style="1" customWidth="1"/>
    <col min="12297" max="12297" width="5.5703125" style="1" bestFit="1" customWidth="1"/>
    <col min="12298" max="12298" width="6.42578125" style="1" customWidth="1"/>
    <col min="12299" max="12299" width="9.140625" style="1" customWidth="1"/>
    <col min="12300" max="12300" width="5.28515625" style="1" customWidth="1"/>
    <col min="12301" max="12301" width="9.140625" style="1" customWidth="1"/>
    <col min="12302" max="12302" width="7" style="1" customWidth="1"/>
    <col min="12303" max="12304" width="5.5703125" style="1" customWidth="1"/>
    <col min="12305" max="12305" width="26.42578125" style="1" customWidth="1"/>
    <col min="12306" max="12550" width="11.42578125" style="1"/>
    <col min="12551" max="12551" width="15.7109375" style="1" bestFit="1" customWidth="1"/>
    <col min="12552" max="12552" width="5.85546875" style="1" customWidth="1"/>
    <col min="12553" max="12553" width="5.5703125" style="1" bestFit="1" customWidth="1"/>
    <col min="12554" max="12554" width="6.42578125" style="1" customWidth="1"/>
    <col min="12555" max="12555" width="9.140625" style="1" customWidth="1"/>
    <col min="12556" max="12556" width="5.28515625" style="1" customWidth="1"/>
    <col min="12557" max="12557" width="9.140625" style="1" customWidth="1"/>
    <col min="12558" max="12558" width="7" style="1" customWidth="1"/>
    <col min="12559" max="12560" width="5.5703125" style="1" customWidth="1"/>
    <col min="12561" max="12561" width="26.42578125" style="1" customWidth="1"/>
    <col min="12562" max="12806" width="11.42578125" style="1"/>
    <col min="12807" max="12807" width="15.7109375" style="1" bestFit="1" customWidth="1"/>
    <col min="12808" max="12808" width="5.85546875" style="1" customWidth="1"/>
    <col min="12809" max="12809" width="5.5703125" style="1" bestFit="1" customWidth="1"/>
    <col min="12810" max="12810" width="6.42578125" style="1" customWidth="1"/>
    <col min="12811" max="12811" width="9.140625" style="1" customWidth="1"/>
    <col min="12812" max="12812" width="5.28515625" style="1" customWidth="1"/>
    <col min="12813" max="12813" width="9.140625" style="1" customWidth="1"/>
    <col min="12814" max="12814" width="7" style="1" customWidth="1"/>
    <col min="12815" max="12816" width="5.5703125" style="1" customWidth="1"/>
    <col min="12817" max="12817" width="26.42578125" style="1" customWidth="1"/>
    <col min="12818" max="13062" width="11.42578125" style="1"/>
    <col min="13063" max="13063" width="15.7109375" style="1" bestFit="1" customWidth="1"/>
    <col min="13064" max="13064" width="5.85546875" style="1" customWidth="1"/>
    <col min="13065" max="13065" width="5.5703125" style="1" bestFit="1" customWidth="1"/>
    <col min="13066" max="13066" width="6.42578125" style="1" customWidth="1"/>
    <col min="13067" max="13067" width="9.140625" style="1" customWidth="1"/>
    <col min="13068" max="13068" width="5.28515625" style="1" customWidth="1"/>
    <col min="13069" max="13069" width="9.140625" style="1" customWidth="1"/>
    <col min="13070" max="13070" width="7" style="1" customWidth="1"/>
    <col min="13071" max="13072" width="5.5703125" style="1" customWidth="1"/>
    <col min="13073" max="13073" width="26.42578125" style="1" customWidth="1"/>
    <col min="13074" max="13318" width="11.42578125" style="1"/>
    <col min="13319" max="13319" width="15.7109375" style="1" bestFit="1" customWidth="1"/>
    <col min="13320" max="13320" width="5.85546875" style="1" customWidth="1"/>
    <col min="13321" max="13321" width="5.5703125" style="1" bestFit="1" customWidth="1"/>
    <col min="13322" max="13322" width="6.42578125" style="1" customWidth="1"/>
    <col min="13323" max="13323" width="9.140625" style="1" customWidth="1"/>
    <col min="13324" max="13324" width="5.28515625" style="1" customWidth="1"/>
    <col min="13325" max="13325" width="9.140625" style="1" customWidth="1"/>
    <col min="13326" max="13326" width="7" style="1" customWidth="1"/>
    <col min="13327" max="13328" width="5.5703125" style="1" customWidth="1"/>
    <col min="13329" max="13329" width="26.42578125" style="1" customWidth="1"/>
    <col min="13330" max="13574" width="11.42578125" style="1"/>
    <col min="13575" max="13575" width="15.7109375" style="1" bestFit="1" customWidth="1"/>
    <col min="13576" max="13576" width="5.85546875" style="1" customWidth="1"/>
    <col min="13577" max="13577" width="5.5703125" style="1" bestFit="1" customWidth="1"/>
    <col min="13578" max="13578" width="6.42578125" style="1" customWidth="1"/>
    <col min="13579" max="13579" width="9.140625" style="1" customWidth="1"/>
    <col min="13580" max="13580" width="5.28515625" style="1" customWidth="1"/>
    <col min="13581" max="13581" width="9.140625" style="1" customWidth="1"/>
    <col min="13582" max="13582" width="7" style="1" customWidth="1"/>
    <col min="13583" max="13584" width="5.5703125" style="1" customWidth="1"/>
    <col min="13585" max="13585" width="26.42578125" style="1" customWidth="1"/>
    <col min="13586" max="13830" width="11.42578125" style="1"/>
    <col min="13831" max="13831" width="15.7109375" style="1" bestFit="1" customWidth="1"/>
    <col min="13832" max="13832" width="5.85546875" style="1" customWidth="1"/>
    <col min="13833" max="13833" width="5.5703125" style="1" bestFit="1" customWidth="1"/>
    <col min="13834" max="13834" width="6.42578125" style="1" customWidth="1"/>
    <col min="13835" max="13835" width="9.140625" style="1" customWidth="1"/>
    <col min="13836" max="13836" width="5.28515625" style="1" customWidth="1"/>
    <col min="13837" max="13837" width="9.140625" style="1" customWidth="1"/>
    <col min="13838" max="13838" width="7" style="1" customWidth="1"/>
    <col min="13839" max="13840" width="5.5703125" style="1" customWidth="1"/>
    <col min="13841" max="13841" width="26.42578125" style="1" customWidth="1"/>
    <col min="13842" max="14086" width="11.42578125" style="1"/>
    <col min="14087" max="14087" width="15.7109375" style="1" bestFit="1" customWidth="1"/>
    <col min="14088" max="14088" width="5.85546875" style="1" customWidth="1"/>
    <col min="14089" max="14089" width="5.5703125" style="1" bestFit="1" customWidth="1"/>
    <col min="14090" max="14090" width="6.42578125" style="1" customWidth="1"/>
    <col min="14091" max="14091" width="9.140625" style="1" customWidth="1"/>
    <col min="14092" max="14092" width="5.28515625" style="1" customWidth="1"/>
    <col min="14093" max="14093" width="9.140625" style="1" customWidth="1"/>
    <col min="14094" max="14094" width="7" style="1" customWidth="1"/>
    <col min="14095" max="14096" width="5.5703125" style="1" customWidth="1"/>
    <col min="14097" max="14097" width="26.42578125" style="1" customWidth="1"/>
    <col min="14098" max="14342" width="11.42578125" style="1"/>
    <col min="14343" max="14343" width="15.7109375" style="1" bestFit="1" customWidth="1"/>
    <col min="14344" max="14344" width="5.85546875" style="1" customWidth="1"/>
    <col min="14345" max="14345" width="5.5703125" style="1" bestFit="1" customWidth="1"/>
    <col min="14346" max="14346" width="6.42578125" style="1" customWidth="1"/>
    <col min="14347" max="14347" width="9.140625" style="1" customWidth="1"/>
    <col min="14348" max="14348" width="5.28515625" style="1" customWidth="1"/>
    <col min="14349" max="14349" width="9.140625" style="1" customWidth="1"/>
    <col min="14350" max="14350" width="7" style="1" customWidth="1"/>
    <col min="14351" max="14352" width="5.5703125" style="1" customWidth="1"/>
    <col min="14353" max="14353" width="26.42578125" style="1" customWidth="1"/>
    <col min="14354" max="14598" width="11.42578125" style="1"/>
    <col min="14599" max="14599" width="15.7109375" style="1" bestFit="1" customWidth="1"/>
    <col min="14600" max="14600" width="5.85546875" style="1" customWidth="1"/>
    <col min="14601" max="14601" width="5.5703125" style="1" bestFit="1" customWidth="1"/>
    <col min="14602" max="14602" width="6.42578125" style="1" customWidth="1"/>
    <col min="14603" max="14603" width="9.140625" style="1" customWidth="1"/>
    <col min="14604" max="14604" width="5.28515625" style="1" customWidth="1"/>
    <col min="14605" max="14605" width="9.140625" style="1" customWidth="1"/>
    <col min="14606" max="14606" width="7" style="1" customWidth="1"/>
    <col min="14607" max="14608" width="5.5703125" style="1" customWidth="1"/>
    <col min="14609" max="14609" width="26.42578125" style="1" customWidth="1"/>
    <col min="14610" max="14854" width="11.42578125" style="1"/>
    <col min="14855" max="14855" width="15.7109375" style="1" bestFit="1" customWidth="1"/>
    <col min="14856" max="14856" width="5.85546875" style="1" customWidth="1"/>
    <col min="14857" max="14857" width="5.5703125" style="1" bestFit="1" customWidth="1"/>
    <col min="14858" max="14858" width="6.42578125" style="1" customWidth="1"/>
    <col min="14859" max="14859" width="9.140625" style="1" customWidth="1"/>
    <col min="14860" max="14860" width="5.28515625" style="1" customWidth="1"/>
    <col min="14861" max="14861" width="9.140625" style="1" customWidth="1"/>
    <col min="14862" max="14862" width="7" style="1" customWidth="1"/>
    <col min="14863" max="14864" width="5.5703125" style="1" customWidth="1"/>
    <col min="14865" max="14865" width="26.42578125" style="1" customWidth="1"/>
    <col min="14866" max="15110" width="11.42578125" style="1"/>
    <col min="15111" max="15111" width="15.7109375" style="1" bestFit="1" customWidth="1"/>
    <col min="15112" max="15112" width="5.85546875" style="1" customWidth="1"/>
    <col min="15113" max="15113" width="5.5703125" style="1" bestFit="1" customWidth="1"/>
    <col min="15114" max="15114" width="6.42578125" style="1" customWidth="1"/>
    <col min="15115" max="15115" width="9.140625" style="1" customWidth="1"/>
    <col min="15116" max="15116" width="5.28515625" style="1" customWidth="1"/>
    <col min="15117" max="15117" width="9.140625" style="1" customWidth="1"/>
    <col min="15118" max="15118" width="7" style="1" customWidth="1"/>
    <col min="15119" max="15120" width="5.5703125" style="1" customWidth="1"/>
    <col min="15121" max="15121" width="26.42578125" style="1" customWidth="1"/>
    <col min="15122" max="15366" width="11.42578125" style="1"/>
    <col min="15367" max="15367" width="15.7109375" style="1" bestFit="1" customWidth="1"/>
    <col min="15368" max="15368" width="5.85546875" style="1" customWidth="1"/>
    <col min="15369" max="15369" width="5.5703125" style="1" bestFit="1" customWidth="1"/>
    <col min="15370" max="15370" width="6.42578125" style="1" customWidth="1"/>
    <col min="15371" max="15371" width="9.140625" style="1" customWidth="1"/>
    <col min="15372" max="15372" width="5.28515625" style="1" customWidth="1"/>
    <col min="15373" max="15373" width="9.140625" style="1" customWidth="1"/>
    <col min="15374" max="15374" width="7" style="1" customWidth="1"/>
    <col min="15375" max="15376" width="5.5703125" style="1" customWidth="1"/>
    <col min="15377" max="15377" width="26.42578125" style="1" customWidth="1"/>
    <col min="15378" max="15622" width="11.42578125" style="1"/>
    <col min="15623" max="15623" width="15.7109375" style="1" bestFit="1" customWidth="1"/>
    <col min="15624" max="15624" width="5.85546875" style="1" customWidth="1"/>
    <col min="15625" max="15625" width="5.5703125" style="1" bestFit="1" customWidth="1"/>
    <col min="15626" max="15626" width="6.42578125" style="1" customWidth="1"/>
    <col min="15627" max="15627" width="9.140625" style="1" customWidth="1"/>
    <col min="15628" max="15628" width="5.28515625" style="1" customWidth="1"/>
    <col min="15629" max="15629" width="9.140625" style="1" customWidth="1"/>
    <col min="15630" max="15630" width="7" style="1" customWidth="1"/>
    <col min="15631" max="15632" width="5.5703125" style="1" customWidth="1"/>
    <col min="15633" max="15633" width="26.42578125" style="1" customWidth="1"/>
    <col min="15634" max="15878" width="11.42578125" style="1"/>
    <col min="15879" max="15879" width="15.7109375" style="1" bestFit="1" customWidth="1"/>
    <col min="15880" max="15880" width="5.85546875" style="1" customWidth="1"/>
    <col min="15881" max="15881" width="5.5703125" style="1" bestFit="1" customWidth="1"/>
    <col min="15882" max="15882" width="6.42578125" style="1" customWidth="1"/>
    <col min="15883" max="15883" width="9.140625" style="1" customWidth="1"/>
    <col min="15884" max="15884" width="5.28515625" style="1" customWidth="1"/>
    <col min="15885" max="15885" width="9.140625" style="1" customWidth="1"/>
    <col min="15886" max="15886" width="7" style="1" customWidth="1"/>
    <col min="15887" max="15888" width="5.5703125" style="1" customWidth="1"/>
    <col min="15889" max="15889" width="26.42578125" style="1" customWidth="1"/>
    <col min="15890" max="16134" width="11.42578125" style="1"/>
    <col min="16135" max="16135" width="15.7109375" style="1" bestFit="1" customWidth="1"/>
    <col min="16136" max="16136" width="5.85546875" style="1" customWidth="1"/>
    <col min="16137" max="16137" width="5.5703125" style="1" bestFit="1" customWidth="1"/>
    <col min="16138" max="16138" width="6.42578125" style="1" customWidth="1"/>
    <col min="16139" max="16139" width="9.140625" style="1" customWidth="1"/>
    <col min="16140" max="16140" width="5.28515625" style="1" customWidth="1"/>
    <col min="16141" max="16141" width="9.140625" style="1" customWidth="1"/>
    <col min="16142" max="16142" width="7" style="1" customWidth="1"/>
    <col min="16143" max="16144" width="5.5703125" style="1" customWidth="1"/>
    <col min="16145" max="16145" width="26.42578125" style="1" customWidth="1"/>
    <col min="16146" max="16384" width="11.42578125" style="1"/>
  </cols>
  <sheetData>
    <row r="1" spans="1:35" ht="25.5" x14ac:dyDescent="0.2">
      <c r="O1" s="29" t="s">
        <v>32</v>
      </c>
      <c r="P1" s="1" t="s">
        <v>30</v>
      </c>
      <c r="S1" s="1" t="s">
        <v>23</v>
      </c>
      <c r="X1" s="6" t="s">
        <v>27</v>
      </c>
      <c r="Y1" s="6"/>
      <c r="Z1" s="6"/>
      <c r="AA1" s="6"/>
    </row>
    <row r="2" spans="1:35" x14ac:dyDescent="0.2">
      <c r="P2" s="27">
        <v>100</v>
      </c>
      <c r="S2" s="10">
        <v>0</v>
      </c>
      <c r="X2" s="20">
        <f>1/24</f>
        <v>4.1666666666666664E-2</v>
      </c>
      <c r="Y2" s="23"/>
      <c r="Z2" s="6"/>
      <c r="AA2" s="6"/>
    </row>
    <row r="3" spans="1:35" x14ac:dyDescent="0.2">
      <c r="P3" s="27">
        <v>90</v>
      </c>
      <c r="S3" s="11">
        <v>1</v>
      </c>
      <c r="X3" s="21">
        <f>X2/2</f>
        <v>2.0833333333333332E-2</v>
      </c>
      <c r="Y3" s="23"/>
      <c r="Z3" s="6"/>
      <c r="AA3" s="6"/>
    </row>
    <row r="4" spans="1:35" x14ac:dyDescent="0.2">
      <c r="P4" s="27">
        <v>80</v>
      </c>
      <c r="S4" s="11">
        <v>5</v>
      </c>
      <c r="X4" s="21">
        <f>X3/2</f>
        <v>1.0416666666666666E-2</v>
      </c>
      <c r="Y4" s="23"/>
      <c r="Z4" s="6"/>
      <c r="AA4" s="6"/>
    </row>
    <row r="5" spans="1:35" x14ac:dyDescent="0.2">
      <c r="P5" s="27">
        <v>70</v>
      </c>
      <c r="S5" s="11">
        <v>10</v>
      </c>
      <c r="X5" s="21">
        <f>X2/6</f>
        <v>6.9444444444444441E-3</v>
      </c>
      <c r="Y5" s="23" t="s">
        <v>36</v>
      </c>
    </row>
    <row r="6" spans="1:35" x14ac:dyDescent="0.2">
      <c r="P6" s="27">
        <v>60</v>
      </c>
      <c r="S6" s="11">
        <v>20</v>
      </c>
      <c r="X6" s="21">
        <f>X2/10</f>
        <v>4.1666666666666666E-3</v>
      </c>
      <c r="Y6" s="23" t="s">
        <v>37</v>
      </c>
    </row>
    <row r="7" spans="1:35" x14ac:dyDescent="0.2">
      <c r="P7" s="27">
        <v>50</v>
      </c>
      <c r="S7" s="11">
        <v>50</v>
      </c>
      <c r="X7" s="21">
        <f>X2/60</f>
        <v>6.9444444444444436E-4</v>
      </c>
      <c r="Y7" s="23" t="s">
        <v>38</v>
      </c>
    </row>
    <row r="8" spans="1:35" x14ac:dyDescent="0.2">
      <c r="P8" s="27">
        <v>40</v>
      </c>
      <c r="S8" s="9">
        <v>80</v>
      </c>
      <c r="X8" s="22"/>
      <c r="Y8" s="23"/>
    </row>
    <row r="9" spans="1:35" x14ac:dyDescent="0.2">
      <c r="P9" s="27">
        <v>30</v>
      </c>
    </row>
    <row r="11" spans="1:35" s="16" customFormat="1" ht="28.5" customHeight="1" x14ac:dyDescent="0.2">
      <c r="B11" s="13"/>
      <c r="H11" s="13"/>
      <c r="K11" s="15"/>
      <c r="L11" s="15"/>
      <c r="M11" s="15"/>
      <c r="N11" s="17" t="s">
        <v>20</v>
      </c>
      <c r="O11" s="25"/>
      <c r="P11" s="28" t="s">
        <v>31</v>
      </c>
      <c r="Q11" s="25"/>
      <c r="R11" s="15"/>
      <c r="S11" s="17" t="s">
        <v>22</v>
      </c>
      <c r="T11" s="15"/>
      <c r="X11" s="19" t="s">
        <v>28</v>
      </c>
      <c r="Y11" s="24"/>
      <c r="AH11" s="16" t="s">
        <v>43</v>
      </c>
    </row>
    <row r="12" spans="1:35" x14ac:dyDescent="0.2">
      <c r="N12" s="9">
        <v>13</v>
      </c>
      <c r="O12" s="26"/>
      <c r="P12" s="27">
        <v>70</v>
      </c>
      <c r="Q12" s="26"/>
      <c r="S12" s="9">
        <v>5</v>
      </c>
      <c r="X12" s="22">
        <v>4.1666666666666664E-2</v>
      </c>
      <c r="Y12" s="23"/>
    </row>
    <row r="14" spans="1:35" x14ac:dyDescent="0.2">
      <c r="C14" s="1" t="s">
        <v>0</v>
      </c>
      <c r="G14" s="2" t="s">
        <v>1</v>
      </c>
      <c r="K14" s="3"/>
      <c r="Z14" s="18"/>
      <c r="AE14" s="31"/>
      <c r="AF14" s="31" t="s">
        <v>35</v>
      </c>
      <c r="AG14" s="18"/>
    </row>
    <row r="15" spans="1:35" s="16" customFormat="1" ht="38.25" customHeight="1" x14ac:dyDescent="0.2">
      <c r="A15" s="12" t="s">
        <v>2</v>
      </c>
      <c r="B15" s="13"/>
      <c r="C15" s="12" t="s">
        <v>3</v>
      </c>
      <c r="D15" s="12" t="s">
        <v>4</v>
      </c>
      <c r="E15" s="14" t="s">
        <v>5</v>
      </c>
      <c r="F15" s="12"/>
      <c r="G15" s="12" t="s">
        <v>3</v>
      </c>
      <c r="H15" s="12" t="s">
        <v>4</v>
      </c>
      <c r="I15" s="12" t="s">
        <v>5</v>
      </c>
      <c r="J15" s="12"/>
      <c r="K15" s="15"/>
      <c r="L15" s="14" t="s">
        <v>19</v>
      </c>
      <c r="M15" s="15"/>
      <c r="N15" s="15" t="s">
        <v>21</v>
      </c>
      <c r="O15" s="15"/>
      <c r="P15" s="15" t="s">
        <v>29</v>
      </c>
      <c r="Q15" s="15"/>
      <c r="R15" s="15"/>
      <c r="S15" s="15"/>
      <c r="T15" s="15"/>
      <c r="U15" s="15" t="s">
        <v>24</v>
      </c>
      <c r="V15" s="15" t="s">
        <v>25</v>
      </c>
      <c r="W15" s="15"/>
      <c r="Z15" s="16" t="s">
        <v>40</v>
      </c>
      <c r="AA15" s="15" t="s">
        <v>26</v>
      </c>
      <c r="AC15" s="16" t="s">
        <v>33</v>
      </c>
      <c r="AE15" s="32" t="s">
        <v>39</v>
      </c>
      <c r="AF15" s="32" t="s">
        <v>34</v>
      </c>
      <c r="AH15" s="29" t="s">
        <v>42</v>
      </c>
      <c r="AI15" s="33" t="s">
        <v>41</v>
      </c>
    </row>
    <row r="16" spans="1:35" x14ac:dyDescent="0.2">
      <c r="A16" s="3" t="s">
        <v>6</v>
      </c>
      <c r="C16" s="4">
        <v>0.375</v>
      </c>
      <c r="D16" s="5">
        <v>0.70833333333333337</v>
      </c>
      <c r="E16" s="5">
        <f t="shared" ref="E16:E28" si="0">D16-C16</f>
        <v>0.33333333333333337</v>
      </c>
      <c r="F16" s="5"/>
      <c r="G16" s="5"/>
      <c r="I16" s="5"/>
      <c r="J16" s="5"/>
      <c r="K16" s="6"/>
      <c r="L16" s="8">
        <f>E16</f>
        <v>0.33333333333333337</v>
      </c>
      <c r="M16" s="6"/>
      <c r="N16" s="8">
        <f>L16*(100-tPausePourcent)/100</f>
        <v>0.29000000000000004</v>
      </c>
      <c r="O16" s="8"/>
      <c r="P16" s="8">
        <f>N16*tauxControle/100</f>
        <v>0.20300000000000004</v>
      </c>
      <c r="Q16" s="8"/>
      <c r="R16" s="6"/>
      <c r="S16" s="8">
        <f>P16*battement/100</f>
        <v>1.0150000000000001E-2</v>
      </c>
      <c r="T16" s="6"/>
      <c r="U16" s="8">
        <f>N16-S16</f>
        <v>0.27985000000000004</v>
      </c>
      <c r="V16" s="8">
        <f>N16+S16</f>
        <v>0.30015000000000003</v>
      </c>
      <c r="W16" s="8"/>
      <c r="Z16" s="8">
        <f>MAX(U16,pasMiniChoisi)</f>
        <v>0.27985000000000004</v>
      </c>
      <c r="AA16" s="8">
        <f>MIN(V16,N16)</f>
        <v>0.29000000000000004</v>
      </c>
      <c r="AC16" s="30">
        <f ca="1">RANDBETWEEN(Z16*1000,AA16*1000)/1000</f>
        <v>0.28199999999999997</v>
      </c>
      <c r="AD16" s="30"/>
      <c r="AE16" s="30">
        <f ca="1">QUOTIENT(AC16, pasMiniChoisi)*pasMiniChoisi</f>
        <v>0.25</v>
      </c>
      <c r="AF16" s="8">
        <f ca="1">(QUOTIENT(AC16, pasMiniChoisi)+1)*pasMiniChoisi</f>
        <v>0.29166666666666663</v>
      </c>
      <c r="AG16" s="8"/>
      <c r="AH16" s="8">
        <f ca="1">MAX(AE16,pasMiniChoisi)</f>
        <v>0.25</v>
      </c>
      <c r="AI16" s="8">
        <f ca="1">MIN(AF16,X16)</f>
        <v>0.29166666666666663</v>
      </c>
    </row>
    <row r="17" spans="1:35" x14ac:dyDescent="0.2">
      <c r="A17" s="3" t="s">
        <v>7</v>
      </c>
      <c r="C17" s="4">
        <v>0.375</v>
      </c>
      <c r="D17" s="5">
        <v>0.54166666666666663</v>
      </c>
      <c r="E17" s="5">
        <f t="shared" si="0"/>
        <v>0.16666666666666663</v>
      </c>
      <c r="F17" s="5"/>
      <c r="G17" s="5"/>
      <c r="I17" s="5"/>
      <c r="J17" s="5"/>
      <c r="K17" s="6"/>
      <c r="L17" s="8">
        <f t="shared" ref="L17:L32" si="1">E17</f>
        <v>0.16666666666666663</v>
      </c>
      <c r="M17" s="6"/>
      <c r="N17" s="8">
        <f>L17*(100-tPausePourcent)/100</f>
        <v>0.14499999999999996</v>
      </c>
      <c r="O17" s="8"/>
      <c r="P17" s="8">
        <f>N17*tauxControle/100</f>
        <v>0.10149999999999997</v>
      </c>
      <c r="Q17" s="8"/>
      <c r="R17" s="6"/>
      <c r="S17" s="8">
        <f>P17*battement/100</f>
        <v>5.0749999999999988E-3</v>
      </c>
      <c r="T17" s="6"/>
      <c r="U17" s="8">
        <f t="shared" ref="U17:U34" si="2">N17-S17</f>
        <v>0.13992499999999997</v>
      </c>
      <c r="V17" s="8">
        <f t="shared" ref="V17:V34" si="3">N17+S17</f>
        <v>0.15007499999999996</v>
      </c>
      <c r="W17" s="8"/>
      <c r="Z17" s="8">
        <f>MAX(U17,pasMiniChoisi)</f>
        <v>0.13992499999999997</v>
      </c>
      <c r="AA17" s="8">
        <f t="shared" ref="AA17:AA34" si="4">MIN(V17,N17)</f>
        <v>0.14499999999999996</v>
      </c>
      <c r="AC17" s="30">
        <f t="shared" ref="AC17:AC34" ca="1" si="5">RANDBETWEEN(Z17*1000,AA17*1000)/1000</f>
        <v>0.14000000000000001</v>
      </c>
      <c r="AD17" s="30"/>
      <c r="AE17" s="30">
        <f ca="1">QUOTIENT(AC17, pasMiniChoisi)*pasMiniChoisi</f>
        <v>0.125</v>
      </c>
      <c r="AF17" s="8">
        <f ca="1">(QUOTIENT(AC17, pasMiniChoisi)+1)*pasMiniChoisi</f>
        <v>0.16666666666666666</v>
      </c>
      <c r="AG17" s="8"/>
      <c r="AH17" s="8">
        <f ca="1">MAX(AE17,pasMiniChoisi)</f>
        <v>0.125</v>
      </c>
      <c r="AI17" s="8">
        <f t="shared" ref="AI17:AI33" ca="1" si="6">MIN(AF17,X17)</f>
        <v>0.16666666666666666</v>
      </c>
    </row>
    <row r="18" spans="1:35" x14ac:dyDescent="0.2">
      <c r="A18" s="3" t="s">
        <v>8</v>
      </c>
      <c r="C18" s="4">
        <v>0.375</v>
      </c>
      <c r="D18" s="5">
        <v>0.60416666666666663</v>
      </c>
      <c r="E18" s="5">
        <f t="shared" si="0"/>
        <v>0.22916666666666663</v>
      </c>
      <c r="F18" s="5"/>
      <c r="G18" s="5"/>
      <c r="I18" s="5"/>
      <c r="J18" s="5"/>
      <c r="K18" s="6"/>
      <c r="L18" s="8">
        <f t="shared" si="1"/>
        <v>0.22916666666666663</v>
      </c>
      <c r="M18" s="6"/>
      <c r="N18" s="8">
        <f>L18*(100-tPausePourcent)/100</f>
        <v>0.19937499999999997</v>
      </c>
      <c r="O18" s="8"/>
      <c r="P18" s="8">
        <f>N18*tauxControle/100</f>
        <v>0.13956249999999998</v>
      </c>
      <c r="Q18" s="8"/>
      <c r="R18" s="6"/>
      <c r="S18" s="8">
        <f>P18*battement/100</f>
        <v>6.9781249999999991E-3</v>
      </c>
      <c r="T18" s="6"/>
      <c r="U18" s="8">
        <f t="shared" si="2"/>
        <v>0.19239687499999997</v>
      </c>
      <c r="V18" s="8">
        <f t="shared" si="3"/>
        <v>0.20635312499999997</v>
      </c>
      <c r="W18" s="8"/>
      <c r="Z18" s="8">
        <f>MAX(U18,pasMiniChoisi)</f>
        <v>0.19239687499999997</v>
      </c>
      <c r="AA18" s="8">
        <f t="shared" si="4"/>
        <v>0.19937499999999997</v>
      </c>
      <c r="AC18" s="30">
        <f t="shared" ca="1" si="5"/>
        <v>0.19400000000000001</v>
      </c>
      <c r="AD18" s="30"/>
      <c r="AE18" s="30">
        <f ca="1">QUOTIENT(AC18, pasMiniChoisi)*pasMiniChoisi</f>
        <v>0.16666666666666666</v>
      </c>
      <c r="AF18" s="8">
        <f ca="1">(QUOTIENT(AC18, pasMiniChoisi)+1)*pasMiniChoisi</f>
        <v>0.20833333333333331</v>
      </c>
      <c r="AG18" s="8"/>
      <c r="AH18" s="8">
        <f ca="1">MAX(AE18,pasMiniChoisi)</f>
        <v>0.16666666666666666</v>
      </c>
      <c r="AI18" s="8">
        <f t="shared" ca="1" si="6"/>
        <v>0.20833333333333331</v>
      </c>
    </row>
    <row r="19" spans="1:35" x14ac:dyDescent="0.2">
      <c r="A19" s="3" t="s">
        <v>9</v>
      </c>
      <c r="C19" s="4">
        <v>0.375</v>
      </c>
      <c r="D19" s="5">
        <v>0.66666666666666663</v>
      </c>
      <c r="E19" s="5">
        <f t="shared" si="0"/>
        <v>0.29166666666666663</v>
      </c>
      <c r="F19" s="5"/>
      <c r="G19" s="5"/>
      <c r="I19" s="5"/>
      <c r="J19" s="5"/>
      <c r="K19" s="6"/>
      <c r="L19" s="8">
        <f t="shared" si="1"/>
        <v>0.29166666666666663</v>
      </c>
      <c r="M19" s="6"/>
      <c r="N19" s="8">
        <f>L19*(100-tPausePourcent)/100</f>
        <v>0.25374999999999998</v>
      </c>
      <c r="O19" s="8"/>
      <c r="P19" s="8">
        <f>N19*tauxControle/100</f>
        <v>0.17762500000000001</v>
      </c>
      <c r="Q19" s="8"/>
      <c r="R19" s="6"/>
      <c r="S19" s="8">
        <f>P19*battement/100</f>
        <v>8.8812500000000003E-3</v>
      </c>
      <c r="T19" s="6"/>
      <c r="U19" s="8">
        <f t="shared" si="2"/>
        <v>0.24486874999999997</v>
      </c>
      <c r="V19" s="8">
        <f t="shared" si="3"/>
        <v>0.26263124999999998</v>
      </c>
      <c r="W19" s="8"/>
      <c r="Z19" s="8">
        <f>MAX(U19,pasMiniChoisi)</f>
        <v>0.24486874999999997</v>
      </c>
      <c r="AA19" s="8">
        <f t="shared" si="4"/>
        <v>0.25374999999999998</v>
      </c>
      <c r="AC19" s="30">
        <f t="shared" ca="1" si="5"/>
        <v>0.245</v>
      </c>
      <c r="AD19" s="30"/>
      <c r="AE19" s="30">
        <f ca="1">QUOTIENT(AC19, pasMiniChoisi)*pasMiniChoisi</f>
        <v>0.20833333333333331</v>
      </c>
      <c r="AF19" s="8">
        <f ca="1">(QUOTIENT(AC19, pasMiniChoisi)+1)*pasMiniChoisi</f>
        <v>0.25</v>
      </c>
      <c r="AG19" s="8"/>
      <c r="AH19" s="8">
        <f ca="1">MAX(AE19,pasMiniChoisi)</f>
        <v>0.20833333333333331</v>
      </c>
      <c r="AI19" s="8">
        <f t="shared" ca="1" si="6"/>
        <v>0.25</v>
      </c>
    </row>
    <row r="20" spans="1:35" x14ac:dyDescent="0.2">
      <c r="A20" s="3" t="s">
        <v>10</v>
      </c>
      <c r="C20" s="4">
        <v>0.375</v>
      </c>
      <c r="D20" s="5">
        <v>0.75</v>
      </c>
      <c r="E20" s="5">
        <f t="shared" si="0"/>
        <v>0.375</v>
      </c>
      <c r="F20" s="5"/>
      <c r="G20" s="5"/>
      <c r="I20" s="5"/>
      <c r="J20" s="5"/>
      <c r="K20" s="6"/>
      <c r="L20" s="8">
        <f t="shared" si="1"/>
        <v>0.375</v>
      </c>
      <c r="M20" s="6"/>
      <c r="N20" s="8">
        <f>L20*(100-tPausePourcent)/100</f>
        <v>0.32624999999999998</v>
      </c>
      <c r="O20" s="8"/>
      <c r="P20" s="8">
        <f>N20*tauxControle/100</f>
        <v>0.22837499999999999</v>
      </c>
      <c r="Q20" s="8"/>
      <c r="R20" s="6"/>
      <c r="S20" s="8">
        <f>P20*battement/100</f>
        <v>1.141875E-2</v>
      </c>
      <c r="T20" s="6"/>
      <c r="U20" s="8">
        <f t="shared" si="2"/>
        <v>0.31483125000000001</v>
      </c>
      <c r="V20" s="8">
        <f t="shared" si="3"/>
        <v>0.33766874999999996</v>
      </c>
      <c r="W20" s="8"/>
      <c r="Z20" s="8">
        <f>MAX(U20,pasMiniChoisi)</f>
        <v>0.31483125000000001</v>
      </c>
      <c r="AA20" s="8">
        <f t="shared" si="4"/>
        <v>0.32624999999999998</v>
      </c>
      <c r="AC20" s="30">
        <f t="shared" ca="1" si="5"/>
        <v>0.32200000000000001</v>
      </c>
      <c r="AD20" s="30"/>
      <c r="AE20" s="30">
        <f ca="1">QUOTIENT(AC20, pasMiniChoisi)*pasMiniChoisi</f>
        <v>0.29166666666666663</v>
      </c>
      <c r="AF20" s="8">
        <f ca="1">(QUOTIENT(AC20, pasMiniChoisi)+1)*pasMiniChoisi</f>
        <v>0.33333333333333331</v>
      </c>
      <c r="AG20" s="8"/>
      <c r="AH20" s="8">
        <f ca="1">MAX(AE20,pasMiniChoisi)</f>
        <v>0.29166666666666663</v>
      </c>
      <c r="AI20" s="8">
        <f t="shared" ca="1" si="6"/>
        <v>0.33333333333333331</v>
      </c>
    </row>
    <row r="21" spans="1:35" x14ac:dyDescent="0.2">
      <c r="A21" s="3" t="s">
        <v>11</v>
      </c>
      <c r="C21" s="4">
        <v>0.375</v>
      </c>
      <c r="D21" s="5">
        <v>0.79166666666666663</v>
      </c>
      <c r="E21" s="5">
        <f t="shared" si="0"/>
        <v>0.41666666666666663</v>
      </c>
      <c r="F21" s="5"/>
      <c r="G21" s="5"/>
      <c r="I21" s="5"/>
      <c r="J21" s="5"/>
      <c r="K21" s="6"/>
      <c r="L21" s="8">
        <f t="shared" si="1"/>
        <v>0.41666666666666663</v>
      </c>
      <c r="M21" s="6"/>
      <c r="N21" s="8">
        <f>L21*(100-tPausePourcent)/100</f>
        <v>0.36249999999999999</v>
      </c>
      <c r="O21" s="8"/>
      <c r="P21" s="8">
        <f>N21*tauxControle/100</f>
        <v>0.25374999999999998</v>
      </c>
      <c r="Q21" s="8"/>
      <c r="R21" s="6"/>
      <c r="S21" s="8">
        <f>P21*battement/100</f>
        <v>1.2687499999999997E-2</v>
      </c>
      <c r="T21" s="6"/>
      <c r="U21" s="8">
        <f t="shared" si="2"/>
        <v>0.34981249999999997</v>
      </c>
      <c r="V21" s="8">
        <f t="shared" si="3"/>
        <v>0.37518750000000001</v>
      </c>
      <c r="W21" s="8"/>
      <c r="Z21" s="8">
        <f>MAX(U21,pasMiniChoisi)</f>
        <v>0.34981249999999997</v>
      </c>
      <c r="AA21" s="8">
        <f t="shared" si="4"/>
        <v>0.36249999999999999</v>
      </c>
      <c r="AC21" s="30">
        <f t="shared" ca="1" si="5"/>
        <v>0.35899999999999999</v>
      </c>
      <c r="AD21" s="30"/>
      <c r="AE21" s="30">
        <f ca="1">QUOTIENT(AC21, pasMiniChoisi)*pasMiniChoisi</f>
        <v>0.33333333333333331</v>
      </c>
      <c r="AF21" s="8">
        <f ca="1">(QUOTIENT(AC21, pasMiniChoisi)+1)*pasMiniChoisi</f>
        <v>0.375</v>
      </c>
      <c r="AG21" s="8"/>
      <c r="AH21" s="8">
        <f ca="1">MAX(AE21,pasMiniChoisi)</f>
        <v>0.33333333333333331</v>
      </c>
      <c r="AI21" s="8">
        <f t="shared" ca="1" si="6"/>
        <v>0.375</v>
      </c>
    </row>
    <row r="22" spans="1:35" x14ac:dyDescent="0.2">
      <c r="A22" s="3" t="s">
        <v>12</v>
      </c>
      <c r="C22" s="4">
        <v>0.375</v>
      </c>
      <c r="D22" s="5">
        <v>0.83333333333333337</v>
      </c>
      <c r="E22" s="5">
        <f t="shared" si="0"/>
        <v>0.45833333333333337</v>
      </c>
      <c r="F22" s="5"/>
      <c r="G22" s="5"/>
      <c r="I22" s="5"/>
      <c r="J22" s="5"/>
      <c r="K22" s="6"/>
      <c r="L22" s="8">
        <f t="shared" si="1"/>
        <v>0.45833333333333337</v>
      </c>
      <c r="M22" s="6"/>
      <c r="N22" s="8">
        <f>L22*(100-tPausePourcent)/100</f>
        <v>0.39874999999999999</v>
      </c>
      <c r="O22" s="8"/>
      <c r="P22" s="8">
        <f>N22*tauxControle/100</f>
        <v>0.27912499999999996</v>
      </c>
      <c r="Q22" s="8"/>
      <c r="R22" s="6"/>
      <c r="S22" s="8">
        <f>P22*battement/100</f>
        <v>1.3956249999999998E-2</v>
      </c>
      <c r="T22" s="6"/>
      <c r="U22" s="8">
        <f t="shared" si="2"/>
        <v>0.38479374999999999</v>
      </c>
      <c r="V22" s="8">
        <f t="shared" si="3"/>
        <v>0.41270625</v>
      </c>
      <c r="W22" s="8"/>
      <c r="Z22" s="8">
        <f>MAX(U22,pasMiniChoisi)</f>
        <v>0.38479374999999999</v>
      </c>
      <c r="AA22" s="8">
        <f t="shared" si="4"/>
        <v>0.39874999999999999</v>
      </c>
      <c r="AC22" s="30">
        <f t="shared" ca="1" si="5"/>
        <v>0.39200000000000002</v>
      </c>
      <c r="AD22" s="30"/>
      <c r="AE22" s="30">
        <f ca="1">QUOTIENT(AC22, pasMiniChoisi)*pasMiniChoisi</f>
        <v>0.375</v>
      </c>
      <c r="AF22" s="8">
        <f ca="1">(QUOTIENT(AC22, pasMiniChoisi)+1)*pasMiniChoisi</f>
        <v>0.41666666666666663</v>
      </c>
      <c r="AG22" s="8"/>
      <c r="AH22" s="8">
        <f ca="1">MAX(AE22,pasMiniChoisi)</f>
        <v>0.375</v>
      </c>
      <c r="AI22" s="8">
        <f t="shared" ca="1" si="6"/>
        <v>0.41666666666666663</v>
      </c>
    </row>
    <row r="23" spans="1:35" x14ac:dyDescent="0.2">
      <c r="A23" s="3" t="s">
        <v>13</v>
      </c>
      <c r="C23" s="5">
        <v>0.29166666666666669</v>
      </c>
      <c r="D23" s="5">
        <v>0.54166666666666663</v>
      </c>
      <c r="E23" s="5">
        <f t="shared" si="0"/>
        <v>0.24999999999999994</v>
      </c>
      <c r="F23" s="5"/>
      <c r="G23" s="5"/>
      <c r="I23" s="5"/>
      <c r="J23" s="5"/>
      <c r="K23" s="6"/>
      <c r="L23" s="8">
        <f t="shared" si="1"/>
        <v>0.24999999999999994</v>
      </c>
      <c r="M23" s="6"/>
      <c r="N23" s="8">
        <f>L23*(100-tPausePourcent)/100</f>
        <v>0.21749999999999997</v>
      </c>
      <c r="O23" s="8"/>
      <c r="P23" s="8">
        <f>N23*tauxControle/100</f>
        <v>0.15224999999999997</v>
      </c>
      <c r="Q23" s="8"/>
      <c r="R23" s="6"/>
      <c r="S23" s="8">
        <f>P23*battement/100</f>
        <v>7.6124999999999986E-3</v>
      </c>
      <c r="T23" s="6"/>
      <c r="U23" s="8">
        <f t="shared" si="2"/>
        <v>0.20988749999999998</v>
      </c>
      <c r="V23" s="8">
        <f t="shared" si="3"/>
        <v>0.22511249999999997</v>
      </c>
      <c r="W23" s="8"/>
      <c r="Z23" s="8">
        <f>MAX(U23,pasMiniChoisi)</f>
        <v>0.20988749999999998</v>
      </c>
      <c r="AA23" s="8">
        <f t="shared" si="4"/>
        <v>0.21749999999999997</v>
      </c>
      <c r="AC23" s="30">
        <f t="shared" ca="1" si="5"/>
        <v>0.21199999999999999</v>
      </c>
      <c r="AD23" s="30"/>
      <c r="AE23" s="30">
        <f ca="1">QUOTIENT(AC23, pasMiniChoisi)*pasMiniChoisi</f>
        <v>0.20833333333333331</v>
      </c>
      <c r="AF23" s="8">
        <f ca="1">(QUOTIENT(AC23, pasMiniChoisi)+1)*pasMiniChoisi</f>
        <v>0.25</v>
      </c>
      <c r="AG23" s="8"/>
      <c r="AH23" s="8">
        <f ca="1">MAX(AE23,pasMiniChoisi)</f>
        <v>0.20833333333333331</v>
      </c>
      <c r="AI23" s="8">
        <f t="shared" ca="1" si="6"/>
        <v>0.25</v>
      </c>
    </row>
    <row r="24" spans="1:35" x14ac:dyDescent="0.2">
      <c r="A24" s="3" t="s">
        <v>14</v>
      </c>
      <c r="C24" s="5">
        <v>0.29166666666666669</v>
      </c>
      <c r="D24" s="5">
        <v>0.75</v>
      </c>
      <c r="E24" s="5">
        <f t="shared" si="0"/>
        <v>0.45833333333333331</v>
      </c>
      <c r="F24" s="5"/>
      <c r="G24" s="5"/>
      <c r="I24" s="5"/>
      <c r="J24" s="5"/>
      <c r="K24" s="6"/>
      <c r="L24" s="8">
        <f t="shared" si="1"/>
        <v>0.45833333333333331</v>
      </c>
      <c r="M24" s="6"/>
      <c r="N24" s="8">
        <f>L24*(100-tPausePourcent)/100</f>
        <v>0.39874999999999999</v>
      </c>
      <c r="O24" s="8"/>
      <c r="P24" s="8">
        <f>N24*tauxControle/100</f>
        <v>0.27912499999999996</v>
      </c>
      <c r="Q24" s="8"/>
      <c r="R24" s="6"/>
      <c r="S24" s="8">
        <f>P24*battement/100</f>
        <v>1.3956249999999998E-2</v>
      </c>
      <c r="T24" s="6"/>
      <c r="U24" s="8">
        <f t="shared" si="2"/>
        <v>0.38479374999999999</v>
      </c>
      <c r="V24" s="8">
        <f t="shared" si="3"/>
        <v>0.41270625</v>
      </c>
      <c r="W24" s="8"/>
      <c r="Z24" s="8">
        <f>MAX(U24,pasMiniChoisi)</f>
        <v>0.38479374999999999</v>
      </c>
      <c r="AA24" s="8">
        <f t="shared" si="4"/>
        <v>0.39874999999999999</v>
      </c>
      <c r="AC24" s="30">
        <f t="shared" ca="1" si="5"/>
        <v>0.39800000000000002</v>
      </c>
      <c r="AD24" s="30"/>
      <c r="AE24" s="30">
        <f ca="1">QUOTIENT(AC24, pasMiniChoisi)*pasMiniChoisi</f>
        <v>0.375</v>
      </c>
      <c r="AF24" s="8">
        <f ca="1">(QUOTIENT(AC24, pasMiniChoisi)+1)*pasMiniChoisi</f>
        <v>0.41666666666666663</v>
      </c>
      <c r="AG24" s="8"/>
      <c r="AH24" s="8">
        <f ca="1">MAX(AE24,pasMiniChoisi)</f>
        <v>0.375</v>
      </c>
      <c r="AI24" s="8">
        <f t="shared" ca="1" si="6"/>
        <v>0.41666666666666663</v>
      </c>
    </row>
    <row r="25" spans="1:35" x14ac:dyDescent="0.2">
      <c r="A25" s="3" t="s">
        <v>15</v>
      </c>
      <c r="C25" s="5">
        <v>0.79166666666666663</v>
      </c>
      <c r="D25" s="5">
        <f>C25+1/24*12</f>
        <v>1.2916666666666665</v>
      </c>
      <c r="E25" s="5">
        <f t="shared" si="0"/>
        <v>0.49999999999999989</v>
      </c>
      <c r="F25" s="5"/>
      <c r="G25" s="5"/>
      <c r="I25" s="5"/>
      <c r="J25" s="5"/>
      <c r="K25" s="6"/>
      <c r="L25" s="8">
        <f t="shared" si="1"/>
        <v>0.49999999999999989</v>
      </c>
      <c r="M25" s="6"/>
      <c r="N25" s="8">
        <f>L25*(100-tPausePourcent)/100</f>
        <v>0.43499999999999994</v>
      </c>
      <c r="O25" s="8"/>
      <c r="P25" s="8">
        <f>N25*tauxControle/100</f>
        <v>0.30449999999999994</v>
      </c>
      <c r="Q25" s="8"/>
      <c r="R25" s="6"/>
      <c r="S25" s="8">
        <f>P25*battement/100</f>
        <v>1.5224999999999997E-2</v>
      </c>
      <c r="T25" s="6"/>
      <c r="U25" s="8">
        <f t="shared" si="2"/>
        <v>0.41977499999999995</v>
      </c>
      <c r="V25" s="8">
        <f t="shared" si="3"/>
        <v>0.45022499999999993</v>
      </c>
      <c r="W25" s="8"/>
      <c r="Z25" s="8">
        <f>MAX(U25,pasMiniChoisi)</f>
        <v>0.41977499999999995</v>
      </c>
      <c r="AA25" s="8">
        <f t="shared" si="4"/>
        <v>0.43499999999999994</v>
      </c>
      <c r="AC25" s="30">
        <f t="shared" ca="1" si="5"/>
        <v>0.42299999999999999</v>
      </c>
      <c r="AD25" s="30"/>
      <c r="AE25" s="30">
        <f ca="1">QUOTIENT(AC25, pasMiniChoisi)*pasMiniChoisi</f>
        <v>0.41666666666666663</v>
      </c>
      <c r="AF25" s="8">
        <f ca="1">(QUOTIENT(AC25, pasMiniChoisi)+1)*pasMiniChoisi</f>
        <v>0.45833333333333331</v>
      </c>
      <c r="AG25" s="8"/>
      <c r="AH25" s="8">
        <f ca="1">MAX(AE25,pasMiniChoisi)</f>
        <v>0.41666666666666663</v>
      </c>
      <c r="AI25" s="8">
        <f t="shared" ca="1" si="6"/>
        <v>0.45833333333333331</v>
      </c>
    </row>
    <row r="26" spans="1:35" x14ac:dyDescent="0.2">
      <c r="A26" s="3" t="s">
        <v>16</v>
      </c>
      <c r="C26" s="5">
        <v>0.54166666666666663</v>
      </c>
      <c r="D26" s="5">
        <v>0.83333333333333337</v>
      </c>
      <c r="E26" s="5">
        <f t="shared" si="0"/>
        <v>0.29166666666666674</v>
      </c>
      <c r="F26" s="5"/>
      <c r="G26" s="5"/>
      <c r="I26" s="5"/>
      <c r="J26" s="5"/>
      <c r="K26" s="6"/>
      <c r="L26" s="8">
        <f t="shared" si="1"/>
        <v>0.29166666666666674</v>
      </c>
      <c r="M26" s="6"/>
      <c r="N26" s="8">
        <f>L26*(100-tPausePourcent)/100</f>
        <v>0.25375000000000009</v>
      </c>
      <c r="O26" s="8"/>
      <c r="P26" s="8">
        <f>N26*tauxControle/100</f>
        <v>0.17762500000000006</v>
      </c>
      <c r="Q26" s="8"/>
      <c r="R26" s="6"/>
      <c r="S26" s="8">
        <f>P26*battement/100</f>
        <v>8.881250000000002E-3</v>
      </c>
      <c r="T26" s="6"/>
      <c r="U26" s="8">
        <f t="shared" si="2"/>
        <v>0.24486875000000008</v>
      </c>
      <c r="V26" s="8">
        <f t="shared" si="3"/>
        <v>0.26263125000000009</v>
      </c>
      <c r="W26" s="8"/>
      <c r="Z26" s="8">
        <f>MAX(U26,pasMiniChoisi)</f>
        <v>0.24486875000000008</v>
      </c>
      <c r="AA26" s="8">
        <f t="shared" si="4"/>
        <v>0.25375000000000009</v>
      </c>
      <c r="AC26" s="30">
        <f t="shared" ca="1" si="5"/>
        <v>0.252</v>
      </c>
      <c r="AD26" s="30"/>
      <c r="AE26" s="30">
        <f ca="1">QUOTIENT(AC26, pasMiniChoisi)*pasMiniChoisi</f>
        <v>0.25</v>
      </c>
      <c r="AF26" s="8">
        <f ca="1">(QUOTIENT(AC26, pasMiniChoisi)+1)*pasMiniChoisi</f>
        <v>0.29166666666666663</v>
      </c>
      <c r="AG26" s="8"/>
      <c r="AH26" s="8">
        <f ca="1">MAX(AE26,pasMiniChoisi)</f>
        <v>0.25</v>
      </c>
      <c r="AI26" s="8">
        <f t="shared" ca="1" si="6"/>
        <v>0.29166666666666663</v>
      </c>
    </row>
    <row r="27" spans="1:35" x14ac:dyDescent="0.2">
      <c r="A27" s="3" t="s">
        <v>17</v>
      </c>
      <c r="C27" s="5">
        <v>0.54166666666666663</v>
      </c>
      <c r="D27" s="5">
        <v>0.89583333333333337</v>
      </c>
      <c r="E27" s="5">
        <f t="shared" si="0"/>
        <v>0.35416666666666674</v>
      </c>
      <c r="F27" s="5"/>
      <c r="G27" s="5"/>
      <c r="I27" s="5"/>
      <c r="J27" s="5"/>
      <c r="K27" s="6"/>
      <c r="L27" s="8">
        <f t="shared" si="1"/>
        <v>0.35416666666666674</v>
      </c>
      <c r="M27" s="6"/>
      <c r="N27" s="8">
        <f>L27*(100-tPausePourcent)/100</f>
        <v>0.30812500000000009</v>
      </c>
      <c r="O27" s="8"/>
      <c r="P27" s="8">
        <f>N27*tauxControle/100</f>
        <v>0.21568750000000006</v>
      </c>
      <c r="Q27" s="8"/>
      <c r="R27" s="6"/>
      <c r="S27" s="8">
        <f>P27*battement/100</f>
        <v>1.0784375000000004E-2</v>
      </c>
      <c r="T27" s="6"/>
      <c r="U27" s="8">
        <f t="shared" si="2"/>
        <v>0.29734062500000008</v>
      </c>
      <c r="V27" s="8">
        <f t="shared" si="3"/>
        <v>0.31890937500000011</v>
      </c>
      <c r="W27" s="8"/>
      <c r="Z27" s="8">
        <f>MAX(U27,pasMiniChoisi)</f>
        <v>0.29734062500000008</v>
      </c>
      <c r="AA27" s="8">
        <f t="shared" si="4"/>
        <v>0.30812500000000009</v>
      </c>
      <c r="AC27" s="30">
        <f t="shared" ca="1" si="5"/>
        <v>0.30199999999999999</v>
      </c>
      <c r="AD27" s="30"/>
      <c r="AE27" s="30">
        <f ca="1">QUOTIENT(AC27, pasMiniChoisi)*pasMiniChoisi</f>
        <v>0.29166666666666663</v>
      </c>
      <c r="AF27" s="8">
        <f ca="1">(QUOTIENT(AC27, pasMiniChoisi)+1)*pasMiniChoisi</f>
        <v>0.33333333333333331</v>
      </c>
      <c r="AG27" s="8"/>
      <c r="AH27" s="8">
        <f ca="1">MAX(AE27,pasMiniChoisi)</f>
        <v>0.29166666666666663</v>
      </c>
      <c r="AI27" s="8">
        <f t="shared" ca="1" si="6"/>
        <v>0.33333333333333331</v>
      </c>
    </row>
    <row r="28" spans="1:35" x14ac:dyDescent="0.2">
      <c r="A28" s="3"/>
      <c r="C28" s="5"/>
      <c r="D28" s="5"/>
      <c r="E28" s="5">
        <f t="shared" si="0"/>
        <v>0</v>
      </c>
      <c r="F28" s="5"/>
      <c r="G28" s="5"/>
      <c r="I28" s="5"/>
      <c r="J28" s="5"/>
      <c r="K28" s="6"/>
      <c r="L28" s="8">
        <f t="shared" si="1"/>
        <v>0</v>
      </c>
      <c r="M28" s="6"/>
      <c r="N28" s="8">
        <f>L28*(100-tPausePourcent)/100</f>
        <v>0</v>
      </c>
      <c r="O28" s="8"/>
      <c r="P28" s="8">
        <f>N28*tauxControle/100</f>
        <v>0</v>
      </c>
      <c r="Q28" s="8"/>
      <c r="R28" s="6"/>
      <c r="S28" s="8">
        <f>P28*battement/100</f>
        <v>0</v>
      </c>
      <c r="T28" s="6"/>
      <c r="U28" s="8">
        <f t="shared" si="2"/>
        <v>0</v>
      </c>
      <c r="V28" s="8">
        <f t="shared" si="3"/>
        <v>0</v>
      </c>
      <c r="W28" s="8"/>
      <c r="Z28" s="8">
        <f>MAX(U28,pasMiniChoisi)</f>
        <v>4.1666666666666664E-2</v>
      </c>
      <c r="AA28" s="8">
        <f t="shared" si="4"/>
        <v>0</v>
      </c>
      <c r="AC28" s="30" t="e">
        <f t="shared" ca="1" si="5"/>
        <v>#NUM!</v>
      </c>
      <c r="AD28" s="30"/>
      <c r="AE28" s="30" t="e">
        <f ca="1">QUOTIENT(AC28, pasMiniChoisi)*pasMiniChoisi</f>
        <v>#NUM!</v>
      </c>
      <c r="AF28" s="8" t="e">
        <f ca="1">(QUOTIENT(AC28, pasMiniChoisi)+1)*pasMiniChoisi</f>
        <v>#NUM!</v>
      </c>
      <c r="AG28" s="8"/>
      <c r="AH28" s="8" t="e">
        <f ca="1">MAX(AE28,pasMiniChoisi)</f>
        <v>#NUM!</v>
      </c>
      <c r="AI28" s="8" t="e">
        <f t="shared" ca="1" si="6"/>
        <v>#NUM!</v>
      </c>
    </row>
    <row r="29" spans="1:35" x14ac:dyDescent="0.2">
      <c r="A29" s="3"/>
      <c r="C29" s="5"/>
      <c r="D29" s="7" t="s">
        <v>18</v>
      </c>
      <c r="E29" s="5"/>
      <c r="F29" s="5"/>
      <c r="G29" s="5"/>
      <c r="I29" s="5"/>
      <c r="J29" s="5"/>
      <c r="K29" s="6"/>
      <c r="L29" s="8">
        <f t="shared" si="1"/>
        <v>0</v>
      </c>
      <c r="M29" s="6"/>
      <c r="N29" s="8">
        <f>L29*(100-tPausePourcent)/100</f>
        <v>0</v>
      </c>
      <c r="O29" s="8"/>
      <c r="P29" s="8">
        <f>N29*tauxControle/100</f>
        <v>0</v>
      </c>
      <c r="Q29" s="8"/>
      <c r="R29" s="6"/>
      <c r="S29" s="8">
        <f>P29*battement/100</f>
        <v>0</v>
      </c>
      <c r="T29" s="6"/>
      <c r="U29" s="8">
        <f t="shared" si="2"/>
        <v>0</v>
      </c>
      <c r="V29" s="8">
        <f t="shared" si="3"/>
        <v>0</v>
      </c>
      <c r="W29" s="8"/>
      <c r="Z29" s="8">
        <f>MAX(U29,pasMiniChoisi)</f>
        <v>4.1666666666666664E-2</v>
      </c>
      <c r="AA29" s="8">
        <f t="shared" si="4"/>
        <v>0</v>
      </c>
      <c r="AC29" s="30" t="e">
        <f t="shared" ca="1" si="5"/>
        <v>#NUM!</v>
      </c>
      <c r="AD29" s="30"/>
      <c r="AE29" s="30" t="e">
        <f ca="1">QUOTIENT(AC29, pasMiniChoisi)*pasMiniChoisi</f>
        <v>#NUM!</v>
      </c>
      <c r="AF29" s="8" t="e">
        <f ca="1">(QUOTIENT(AC29, pasMiniChoisi)+1)*pasMiniChoisi</f>
        <v>#NUM!</v>
      </c>
      <c r="AG29" s="8"/>
      <c r="AH29" s="8" t="e">
        <f ca="1">MAX(AE29,pasMiniChoisi)</f>
        <v>#NUM!</v>
      </c>
      <c r="AI29" s="8" t="e">
        <f t="shared" ca="1" si="6"/>
        <v>#NUM!</v>
      </c>
    </row>
    <row r="30" spans="1:35" x14ac:dyDescent="0.2">
      <c r="K30" s="6"/>
      <c r="L30" s="8">
        <f t="shared" si="1"/>
        <v>0</v>
      </c>
      <c r="M30" s="6"/>
      <c r="N30" s="8">
        <f>L30*(100-tPausePourcent)/100</f>
        <v>0</v>
      </c>
      <c r="O30" s="8"/>
      <c r="P30" s="8">
        <f>N30*tauxControle/100</f>
        <v>0</v>
      </c>
      <c r="Q30" s="8"/>
      <c r="R30" s="6"/>
      <c r="S30" s="8">
        <f>P30*battement/100</f>
        <v>0</v>
      </c>
      <c r="T30" s="6"/>
      <c r="U30" s="8">
        <f t="shared" si="2"/>
        <v>0</v>
      </c>
      <c r="V30" s="8">
        <f t="shared" si="3"/>
        <v>0</v>
      </c>
      <c r="W30" s="8"/>
      <c r="Z30" s="8">
        <f>MAX(U30,pasMiniChoisi)</f>
        <v>4.1666666666666664E-2</v>
      </c>
      <c r="AA30" s="8">
        <f t="shared" si="4"/>
        <v>0</v>
      </c>
      <c r="AC30" s="30" t="e">
        <f t="shared" ca="1" si="5"/>
        <v>#NUM!</v>
      </c>
      <c r="AD30" s="30"/>
      <c r="AE30" s="30" t="e">
        <f ca="1">QUOTIENT(AC30, pasMiniChoisi)*pasMiniChoisi</f>
        <v>#NUM!</v>
      </c>
      <c r="AF30" s="8" t="e">
        <f ca="1">(QUOTIENT(AC30, pasMiniChoisi)+1)*pasMiniChoisi</f>
        <v>#NUM!</v>
      </c>
      <c r="AG30" s="8"/>
      <c r="AH30" s="8" t="e">
        <f ca="1">MAX(AE30,pasMiniChoisi)</f>
        <v>#NUM!</v>
      </c>
      <c r="AI30" s="8" t="e">
        <f t="shared" ca="1" si="6"/>
        <v>#NUM!</v>
      </c>
    </row>
    <row r="31" spans="1:35" x14ac:dyDescent="0.2">
      <c r="K31" s="6"/>
      <c r="L31" s="8">
        <f t="shared" si="1"/>
        <v>0</v>
      </c>
      <c r="M31" s="6"/>
      <c r="N31" s="8">
        <f>L31*(100-tPausePourcent)/100</f>
        <v>0</v>
      </c>
      <c r="O31" s="8"/>
      <c r="P31" s="8">
        <f>N31*tauxControle/100</f>
        <v>0</v>
      </c>
      <c r="Q31" s="8"/>
      <c r="R31" s="6"/>
      <c r="S31" s="8">
        <f>P31*battement/100</f>
        <v>0</v>
      </c>
      <c r="T31" s="6"/>
      <c r="U31" s="8">
        <f t="shared" si="2"/>
        <v>0</v>
      </c>
      <c r="V31" s="8">
        <f t="shared" si="3"/>
        <v>0</v>
      </c>
      <c r="W31" s="8"/>
      <c r="Z31" s="8">
        <f>MAX(U31,pasMiniChoisi)</f>
        <v>4.1666666666666664E-2</v>
      </c>
      <c r="AA31" s="8">
        <f t="shared" si="4"/>
        <v>0</v>
      </c>
      <c r="AC31" s="30" t="e">
        <f t="shared" ca="1" si="5"/>
        <v>#NUM!</v>
      </c>
      <c r="AD31" s="30"/>
      <c r="AE31" s="30" t="e">
        <f ca="1">QUOTIENT(AC31, pasMiniChoisi)*pasMiniChoisi</f>
        <v>#NUM!</v>
      </c>
      <c r="AF31" s="8" t="e">
        <f ca="1">(QUOTIENT(AC31, pasMiniChoisi)+1)*pasMiniChoisi</f>
        <v>#NUM!</v>
      </c>
      <c r="AG31" s="8"/>
      <c r="AH31" s="8" t="e">
        <f ca="1">MAX(AE31,pasMiniChoisi)</f>
        <v>#NUM!</v>
      </c>
      <c r="AI31" s="8" t="e">
        <f t="shared" ca="1" si="6"/>
        <v>#NUM!</v>
      </c>
    </row>
    <row r="32" spans="1:35" x14ac:dyDescent="0.2">
      <c r="L32" s="8">
        <f t="shared" si="1"/>
        <v>0</v>
      </c>
      <c r="N32" s="8">
        <f>L32*(100-tPausePourcent)/100</f>
        <v>0</v>
      </c>
      <c r="O32" s="8"/>
      <c r="P32" s="8">
        <f>N32*tauxControle/100</f>
        <v>0</v>
      </c>
      <c r="Q32" s="8"/>
      <c r="S32" s="8">
        <f>P32*battement/100</f>
        <v>0</v>
      </c>
      <c r="U32" s="8">
        <f t="shared" si="2"/>
        <v>0</v>
      </c>
      <c r="V32" s="8">
        <f t="shared" si="3"/>
        <v>0</v>
      </c>
      <c r="W32" s="8"/>
      <c r="Z32" s="8">
        <f>MAX(U32,pasMiniChoisi)</f>
        <v>4.1666666666666664E-2</v>
      </c>
      <c r="AA32" s="8">
        <f t="shared" si="4"/>
        <v>0</v>
      </c>
      <c r="AC32" s="30" t="e">
        <f t="shared" ca="1" si="5"/>
        <v>#NUM!</v>
      </c>
      <c r="AD32" s="30"/>
      <c r="AE32" s="30" t="e">
        <f ca="1">QUOTIENT(AC32, pasMiniChoisi)*pasMiniChoisi</f>
        <v>#NUM!</v>
      </c>
      <c r="AF32" s="8" t="e">
        <f ca="1">(QUOTIENT(AC32, pasMiniChoisi)+1)*pasMiniChoisi</f>
        <v>#NUM!</v>
      </c>
      <c r="AG32" s="8"/>
      <c r="AH32" s="8" t="e">
        <f ca="1">MAX(AE32,pasMiniChoisi)</f>
        <v>#NUM!</v>
      </c>
      <c r="AI32" s="8" t="e">
        <f t="shared" ca="1" si="6"/>
        <v>#NUM!</v>
      </c>
    </row>
    <row r="33" spans="14:35" x14ac:dyDescent="0.2">
      <c r="N33" s="8">
        <f>L33*tPausePourcent/100</f>
        <v>0</v>
      </c>
      <c r="O33" s="8"/>
      <c r="P33" s="8">
        <f>N33*tauxControle/100</f>
        <v>0</v>
      </c>
      <c r="Q33" s="8"/>
      <c r="S33" s="8">
        <f>N33*battement/100</f>
        <v>0</v>
      </c>
      <c r="U33" s="8">
        <f t="shared" si="2"/>
        <v>0</v>
      </c>
      <c r="V33" s="8">
        <f t="shared" si="3"/>
        <v>0</v>
      </c>
      <c r="W33" s="8"/>
      <c r="Z33" s="8">
        <f>MAX(U33,pasMiniChoisi)</f>
        <v>4.1666666666666664E-2</v>
      </c>
      <c r="AA33" s="8">
        <f t="shared" si="4"/>
        <v>0</v>
      </c>
      <c r="AC33" s="30" t="e">
        <f t="shared" ca="1" si="5"/>
        <v>#NUM!</v>
      </c>
      <c r="AD33" s="30"/>
      <c r="AE33" s="30"/>
      <c r="AH33" s="8">
        <f>MAX(AE33,pasMiniChoisi)</f>
        <v>4.1666666666666664E-2</v>
      </c>
      <c r="AI33" s="8">
        <f t="shared" si="6"/>
        <v>0</v>
      </c>
    </row>
    <row r="34" spans="14:35" x14ac:dyDescent="0.2">
      <c r="P34" s="8">
        <f>N34*tauxControle/100</f>
        <v>0</v>
      </c>
      <c r="S34" s="6">
        <f>N34*battement</f>
        <v>0</v>
      </c>
      <c r="U34" s="8">
        <f t="shared" si="2"/>
        <v>0</v>
      </c>
      <c r="V34" s="8">
        <f t="shared" si="3"/>
        <v>0</v>
      </c>
      <c r="W34" s="8"/>
      <c r="Z34" s="8">
        <f>MAX(U34,pasMiniChoisi)</f>
        <v>4.1666666666666664E-2</v>
      </c>
      <c r="AA34" s="8">
        <f t="shared" si="4"/>
        <v>0</v>
      </c>
      <c r="AC34" s="30" t="e">
        <f t="shared" ca="1" si="5"/>
        <v>#NUM!</v>
      </c>
      <c r="AD34" s="30"/>
      <c r="AE34" s="30"/>
    </row>
    <row r="35" spans="14:35" x14ac:dyDescent="0.2">
      <c r="U35" s="8"/>
      <c r="V35" s="8"/>
      <c r="W35" s="8"/>
      <c r="AC35" s="8"/>
      <c r="AD35" s="8"/>
      <c r="AE35" s="8"/>
    </row>
  </sheetData>
  <dataValidations count="3">
    <dataValidation type="list" showInputMessage="1" showErrorMessage="1" sqref="S12">
      <formula1>tableauBattement_PC</formula1>
    </dataValidation>
    <dataValidation type="list" allowBlank="1" showInputMessage="1" showErrorMessage="1" sqref="X12:Y12">
      <formula1>pasMini_en_heure</formula1>
    </dataValidation>
    <dataValidation type="list" allowBlank="1" showInputMessage="1" showErrorMessage="1" sqref="P12">
      <formula1>tauxControle_PC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9</vt:i4>
      </vt:variant>
    </vt:vector>
  </HeadingPairs>
  <TitlesOfParts>
    <vt:vector size="11" baseType="lpstr">
      <vt:lpstr>test battement arrondi VAC</vt:lpstr>
      <vt:lpstr>Feuil1</vt:lpstr>
      <vt:lpstr>battement</vt:lpstr>
      <vt:lpstr>dureeVAC</vt:lpstr>
      <vt:lpstr>pasMini_en_heure</vt:lpstr>
      <vt:lpstr>pasMiniChoisi</vt:lpstr>
      <vt:lpstr>tableauBattement_PC</vt:lpstr>
      <vt:lpstr>tauxControle</vt:lpstr>
      <vt:lpstr>tauxControle_PC</vt:lpstr>
      <vt:lpstr>tPausePourcent</vt:lpstr>
      <vt:lpstr>VAC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2021-02-10T09:50:29Z</dcterms:modified>
</cp:coreProperties>
</file>